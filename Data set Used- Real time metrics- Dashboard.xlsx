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36715e68e89d7ce/BUSINESS INTELLIGENCE AQSKILL/Business Intelligence Course Materials/Module 3/"/>
    </mc:Choice>
  </mc:AlternateContent>
  <xr:revisionPtr revIDLastSave="11" documentId="8_{010CBF74-1A47-4B40-B8A2-3F848E4988F2}" xr6:coauthVersionLast="47" xr6:coauthVersionMax="47" xr10:uidLastSave="{4EA41157-012A-4DC1-93AA-7B805FA943B1}"/>
  <bookViews>
    <workbookView xWindow="-110" yWindow="-110" windowWidth="19420" windowHeight="10300" firstSheet="5" activeTab="5" xr2:uid="{F7B75C60-C259-4003-8ADB-81B94E6E2E96}"/>
  </bookViews>
  <sheets>
    <sheet name="Time Intelligence" sheetId="1" state="hidden" r:id="rId1"/>
    <sheet name="Trend" sheetId="3" state="hidden" r:id="rId2"/>
    <sheet name="Sheet1" sheetId="6" state="hidden" r:id="rId3"/>
    <sheet name="Forecasting" sheetId="2" state="hidden" r:id="rId4"/>
    <sheet name="Real - Time Sales Metrics" sheetId="4" state="hidden" r:id="rId5"/>
    <sheet name="Data Set" sheetId="7" r:id="rId6"/>
    <sheet name="Dashboard" sheetId="8" r:id="rId7"/>
    <sheet name="Exercise" sheetId="5" state="hidden" r:id="rId8"/>
  </sheets>
  <definedNames>
    <definedName name="_xlnm._FilterDatabase" localSheetId="5" hidden="1">'Data Set'!$A$1:$K$558</definedName>
    <definedName name="_xlnm._FilterDatabase" localSheetId="4" hidden="1">'Real - Time Sales Metrics'!$A$1:$J$550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7" l="1"/>
  <c r="N9" i="7"/>
  <c r="N7" i="7"/>
  <c r="N6" i="7"/>
  <c r="N5" i="7"/>
  <c r="N4" i="7"/>
  <c r="N3" i="7"/>
  <c r="N2" i="7"/>
  <c r="N1" i="7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2" i="1"/>
  <c r="L25" i="1"/>
  <c r="L26" i="1"/>
  <c r="L27" i="1"/>
  <c r="L24" i="1"/>
  <c r="M25" i="1"/>
  <c r="M26" i="1"/>
  <c r="M27" i="1"/>
  <c r="M2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2" i="1"/>
  <c r="F15" i="1"/>
  <c r="F12" i="1"/>
  <c r="F9" i="1"/>
  <c r="C329" i="6"/>
  <c r="C337" i="6"/>
  <c r="C345" i="6"/>
  <c r="C353" i="6"/>
  <c r="C361" i="6"/>
  <c r="C369" i="6"/>
  <c r="C377" i="6"/>
  <c r="C385" i="6"/>
  <c r="C393" i="6"/>
  <c r="C401" i="6"/>
  <c r="C409" i="6"/>
  <c r="C330" i="6"/>
  <c r="C338" i="6"/>
  <c r="C346" i="6"/>
  <c r="C354" i="6"/>
  <c r="C362" i="6"/>
  <c r="C370" i="6"/>
  <c r="C378" i="6"/>
  <c r="C386" i="6"/>
  <c r="C394" i="6"/>
  <c r="C402" i="6"/>
  <c r="C331" i="6"/>
  <c r="C339" i="6"/>
  <c r="C347" i="6"/>
  <c r="C355" i="6"/>
  <c r="C363" i="6"/>
  <c r="C371" i="6"/>
  <c r="C379" i="6"/>
  <c r="C387" i="6"/>
  <c r="C395" i="6"/>
  <c r="C403" i="6"/>
  <c r="C350" i="6"/>
  <c r="C374" i="6"/>
  <c r="C398" i="6"/>
  <c r="C343" i="6"/>
  <c r="C383" i="6"/>
  <c r="C407" i="6"/>
  <c r="C344" i="6"/>
  <c r="C376" i="6"/>
  <c r="C408" i="6"/>
  <c r="C332" i="6"/>
  <c r="C340" i="6"/>
  <c r="C348" i="6"/>
  <c r="C356" i="6"/>
  <c r="C364" i="6"/>
  <c r="C372" i="6"/>
  <c r="C380" i="6"/>
  <c r="C388" i="6"/>
  <c r="C396" i="6"/>
  <c r="C404" i="6"/>
  <c r="C342" i="6"/>
  <c r="C366" i="6"/>
  <c r="C390" i="6"/>
  <c r="C351" i="6"/>
  <c r="C375" i="6"/>
  <c r="C399" i="6"/>
  <c r="C328" i="6"/>
  <c r="C360" i="6"/>
  <c r="C384" i="6"/>
  <c r="C400" i="6"/>
  <c r="C333" i="6"/>
  <c r="C341" i="6"/>
  <c r="C349" i="6"/>
  <c r="C357" i="6"/>
  <c r="C365" i="6"/>
  <c r="C373" i="6"/>
  <c r="C381" i="6"/>
  <c r="C389" i="6"/>
  <c r="C397" i="6"/>
  <c r="C405" i="6"/>
  <c r="C334" i="6"/>
  <c r="C358" i="6"/>
  <c r="C382" i="6"/>
  <c r="C406" i="6"/>
  <c r="C335" i="6"/>
  <c r="C359" i="6"/>
  <c r="C367" i="6"/>
  <c r="C391" i="6"/>
  <c r="C336" i="6"/>
  <c r="C352" i="6"/>
  <c r="C368" i="6"/>
  <c r="C392" i="6"/>
  <c r="N11" i="7" l="1"/>
  <c r="N8" i="7"/>
  <c r="N30" i="1"/>
  <c r="D392" i="6"/>
  <c r="D391" i="6"/>
  <c r="E406" i="6"/>
  <c r="E405" i="6"/>
  <c r="E373" i="6"/>
  <c r="E341" i="6"/>
  <c r="D360" i="6"/>
  <c r="D351" i="6"/>
  <c r="D404" i="6"/>
  <c r="D372" i="6"/>
  <c r="D340" i="6"/>
  <c r="D344" i="6"/>
  <c r="E398" i="6"/>
  <c r="E395" i="6"/>
  <c r="D363" i="6"/>
  <c r="E331" i="6"/>
  <c r="D378" i="6"/>
  <c r="D346" i="6"/>
  <c r="D401" i="6"/>
  <c r="D369" i="6"/>
  <c r="D337" i="6"/>
  <c r="E386" i="6"/>
  <c r="E392" i="6"/>
  <c r="E391" i="6"/>
  <c r="D406" i="6"/>
  <c r="D405" i="6"/>
  <c r="D373" i="6"/>
  <c r="D341" i="6"/>
  <c r="E360" i="6"/>
  <c r="E351" i="6"/>
  <c r="E404" i="6"/>
  <c r="E372" i="6"/>
  <c r="E340" i="6"/>
  <c r="E344" i="6"/>
  <c r="D398" i="6"/>
  <c r="D395" i="6"/>
  <c r="E363" i="6"/>
  <c r="D331" i="6"/>
  <c r="E378" i="6"/>
  <c r="E346" i="6"/>
  <c r="E401" i="6"/>
  <c r="E369" i="6"/>
  <c r="E337" i="6"/>
  <c r="E334" i="6"/>
  <c r="E349" i="6"/>
  <c r="D380" i="6"/>
  <c r="D403" i="6"/>
  <c r="D377" i="6"/>
  <c r="D368" i="6"/>
  <c r="D367" i="6"/>
  <c r="E382" i="6"/>
  <c r="E397" i="6"/>
  <c r="E365" i="6"/>
  <c r="E333" i="6"/>
  <c r="D328" i="6"/>
  <c r="E390" i="6"/>
  <c r="E396" i="6"/>
  <c r="E364" i="6"/>
  <c r="D332" i="6"/>
  <c r="D407" i="6"/>
  <c r="E374" i="6"/>
  <c r="D387" i="6"/>
  <c r="E355" i="6"/>
  <c r="D402" i="6"/>
  <c r="D370" i="6"/>
  <c r="E338" i="6"/>
  <c r="D393" i="6"/>
  <c r="D361" i="6"/>
  <c r="D329" i="6"/>
  <c r="D335" i="6"/>
  <c r="D384" i="6"/>
  <c r="D348" i="6"/>
  <c r="D339" i="6"/>
  <c r="D345" i="6"/>
  <c r="E368" i="6"/>
  <c r="E367" i="6"/>
  <c r="D382" i="6"/>
  <c r="D397" i="6"/>
  <c r="D365" i="6"/>
  <c r="D333" i="6"/>
  <c r="E328" i="6"/>
  <c r="D390" i="6"/>
  <c r="D396" i="6"/>
  <c r="D364" i="6"/>
  <c r="E332" i="6"/>
  <c r="E407" i="6"/>
  <c r="D374" i="6"/>
  <c r="E387" i="6"/>
  <c r="D355" i="6"/>
  <c r="E402" i="6"/>
  <c r="E370" i="6"/>
  <c r="D338" i="6"/>
  <c r="E393" i="6"/>
  <c r="E361" i="6"/>
  <c r="E329" i="6"/>
  <c r="E381" i="6"/>
  <c r="D375" i="6"/>
  <c r="D376" i="6"/>
  <c r="D354" i="6"/>
  <c r="D352" i="6"/>
  <c r="D359" i="6"/>
  <c r="E358" i="6"/>
  <c r="E389" i="6"/>
  <c r="E357" i="6"/>
  <c r="D400" i="6"/>
  <c r="D399" i="6"/>
  <c r="E366" i="6"/>
  <c r="D388" i="6"/>
  <c r="D356" i="6"/>
  <c r="D408" i="6"/>
  <c r="D383" i="6"/>
  <c r="E350" i="6"/>
  <c r="E379" i="6"/>
  <c r="E347" i="6"/>
  <c r="D394" i="6"/>
  <c r="E362" i="6"/>
  <c r="D330" i="6"/>
  <c r="D385" i="6"/>
  <c r="D353" i="6"/>
  <c r="E371" i="6"/>
  <c r="E352" i="6"/>
  <c r="E359" i="6"/>
  <c r="D358" i="6"/>
  <c r="D389" i="6"/>
  <c r="D357" i="6"/>
  <c r="E400" i="6"/>
  <c r="E399" i="6"/>
  <c r="D366" i="6"/>
  <c r="E388" i="6"/>
  <c r="E356" i="6"/>
  <c r="E408" i="6"/>
  <c r="E383" i="6"/>
  <c r="D350" i="6"/>
  <c r="D379" i="6"/>
  <c r="D347" i="6"/>
  <c r="E394" i="6"/>
  <c r="D362" i="6"/>
  <c r="E330" i="6"/>
  <c r="E385" i="6"/>
  <c r="E353" i="6"/>
  <c r="D336" i="6"/>
  <c r="E342" i="6"/>
  <c r="D343" i="6"/>
  <c r="D409" i="6"/>
  <c r="E336" i="6"/>
  <c r="E335" i="6"/>
  <c r="D334" i="6"/>
  <c r="D381" i="6"/>
  <c r="D349" i="6"/>
  <c r="E384" i="6"/>
  <c r="E375" i="6"/>
  <c r="D342" i="6"/>
  <c r="E380" i="6"/>
  <c r="E348" i="6"/>
  <c r="E376" i="6"/>
  <c r="E343" i="6"/>
  <c r="E403" i="6"/>
  <c r="D371" i="6"/>
  <c r="E339" i="6"/>
  <c r="D386" i="6"/>
  <c r="E354" i="6"/>
  <c r="E409" i="6"/>
  <c r="E377" i="6"/>
  <c r="E345" i="6"/>
</calcChain>
</file>

<file path=xl/sharedStrings.xml><?xml version="1.0" encoding="utf-8"?>
<sst xmlns="http://schemas.openxmlformats.org/spreadsheetml/2006/main" count="6681" uniqueCount="717">
  <si>
    <t>Date</t>
  </si>
  <si>
    <t>Sales($)</t>
  </si>
  <si>
    <t>Sum of Today’s Sales</t>
  </si>
  <si>
    <t>=SUMIFS(B2:B100, A2:A100, TODAY())</t>
  </si>
  <si>
    <t>Sum of Yesterday’s Sales</t>
  </si>
  <si>
    <t>=SUMIFS(B2:B100, A2:A100, TODAY()-1)</t>
  </si>
  <si>
    <t>Sum of Current Month Sales</t>
  </si>
  <si>
    <t>=SUMIFS(B2:B100, A2:A100, "&gt;="&amp;EOMONTH(TODAY(),-1)+1, A2:A100, "&lt;="&amp;EOMONTH(TODAY(),0))</t>
  </si>
  <si>
    <t>Sum of Previous Month Sales</t>
  </si>
  <si>
    <t>=SUMIFS(B2:B100, A2:A100, "&gt;="&amp;EOMONTH(TODAY(),-2)+1, A2:A100, "&lt;="&amp;EOMONTH(TODAY(),-1))</t>
  </si>
  <si>
    <t>Sum of Current Year Sales</t>
  </si>
  <si>
    <t>=SUMIFS(B2:B100, A2:A100, "&gt;="&amp;DATE(YEAR(TODAY()),1,1), A2:A100, "&lt;="&amp;DATE(YEAR(TODAY()),12,31))</t>
  </si>
  <si>
    <t>Sum of Previous Year Sales</t>
  </si>
  <si>
    <t>=SUMIFS(B2:B100, A2:A100, "&gt;="&amp;DATE(YEAR(TODAY())-1,1,1), A2:A100, "&lt;="&amp;DATE(YEAR(TODAY())-1,12,31))</t>
  </si>
  <si>
    <t>Quarter Number Function</t>
  </si>
  <si>
    <t>=ROUNDUP(MONTH(A2)/3,0)</t>
  </si>
  <si>
    <t>Quarter Name Function</t>
  </si>
  <si>
    <t>="Qtr "&amp;ROUNDUP(MONTH(A2)/3,0)</t>
  </si>
  <si>
    <t>Quarters</t>
  </si>
  <si>
    <t>OrderID</t>
  </si>
  <si>
    <t>OrderDate</t>
  </si>
  <si>
    <t>CustomerID</t>
  </si>
  <si>
    <t>ProductID</t>
  </si>
  <si>
    <t>Category</t>
  </si>
  <si>
    <t>Quantity</t>
  </si>
  <si>
    <t>Payment Method</t>
  </si>
  <si>
    <t>Region</t>
  </si>
  <si>
    <t>ORD1000</t>
  </si>
  <si>
    <t>C007</t>
  </si>
  <si>
    <t>P044</t>
  </si>
  <si>
    <t>Smartphones</t>
  </si>
  <si>
    <t>Card</t>
  </si>
  <si>
    <t>Ibadan</t>
  </si>
  <si>
    <t>ORD1001</t>
  </si>
  <si>
    <t>C020</t>
  </si>
  <si>
    <t>Home Appliances</t>
  </si>
  <si>
    <t>USSD</t>
  </si>
  <si>
    <t>Ilorin</t>
  </si>
  <si>
    <t>ORD1002</t>
  </si>
  <si>
    <t>C029</t>
  </si>
  <si>
    <t>P005</t>
  </si>
  <si>
    <t>Power Equipment</t>
  </si>
  <si>
    <t>ORD1003</t>
  </si>
  <si>
    <t>C015</t>
  </si>
  <si>
    <t>P039</t>
  </si>
  <si>
    <t>Baby Products</t>
  </si>
  <si>
    <t>Lagos</t>
  </si>
  <si>
    <t>ORD1004</t>
  </si>
  <si>
    <t>C011</t>
  </si>
  <si>
    <t>P004</t>
  </si>
  <si>
    <t>Accessories</t>
  </si>
  <si>
    <t>Transfer</t>
  </si>
  <si>
    <t>ORD1005</t>
  </si>
  <si>
    <t>C008</t>
  </si>
  <si>
    <t>P006</t>
  </si>
  <si>
    <t>Furniture</t>
  </si>
  <si>
    <t>Osogbo</t>
  </si>
  <si>
    <t>ORD1006</t>
  </si>
  <si>
    <t>P045</t>
  </si>
  <si>
    <t>Fashion</t>
  </si>
  <si>
    <t>Abeokuta</t>
  </si>
  <si>
    <t>ORD1007</t>
  </si>
  <si>
    <t>C021</t>
  </si>
  <si>
    <t>P032</t>
  </si>
  <si>
    <t>ORD1008</t>
  </si>
  <si>
    <t>P030</t>
  </si>
  <si>
    <t>Electronics</t>
  </si>
  <si>
    <t>ORD1009</t>
  </si>
  <si>
    <t>C026</t>
  </si>
  <si>
    <t>P047</t>
  </si>
  <si>
    <t>Kitchen Appliances</t>
  </si>
  <si>
    <t>ORD1010</t>
  </si>
  <si>
    <t>C019</t>
  </si>
  <si>
    <t>P035</t>
  </si>
  <si>
    <t>ORD1011</t>
  </si>
  <si>
    <t>C023</t>
  </si>
  <si>
    <t>P040</t>
  </si>
  <si>
    <t>ORD1012</t>
  </si>
  <si>
    <t>P016</t>
  </si>
  <si>
    <t>ORD1013</t>
  </si>
  <si>
    <t>P013</t>
  </si>
  <si>
    <t>ORD1014</t>
  </si>
  <si>
    <t>C024</t>
  </si>
  <si>
    <t>P050</t>
  </si>
  <si>
    <t>Akure</t>
  </si>
  <si>
    <t>ORD1015</t>
  </si>
  <si>
    <t>P042</t>
  </si>
  <si>
    <t>ORD1016</t>
  </si>
  <si>
    <t>C004</t>
  </si>
  <si>
    <t>ORD1017</t>
  </si>
  <si>
    <t>P019</t>
  </si>
  <si>
    <t>ORD1018</t>
  </si>
  <si>
    <t>P017</t>
  </si>
  <si>
    <t>ORD1019</t>
  </si>
  <si>
    <t>C003</t>
  </si>
  <si>
    <t>Wearables</t>
  </si>
  <si>
    <t>ORD1020</t>
  </si>
  <si>
    <t>C022</t>
  </si>
  <si>
    <t>P028</t>
  </si>
  <si>
    <t>ORD1021</t>
  </si>
  <si>
    <t>P026</t>
  </si>
  <si>
    <t>ORD1022</t>
  </si>
  <si>
    <t>C002</t>
  </si>
  <si>
    <t>P037</t>
  </si>
  <si>
    <t>ORD1023</t>
  </si>
  <si>
    <t>ORD1024</t>
  </si>
  <si>
    <t>C012</t>
  </si>
  <si>
    <t>P023</t>
  </si>
  <si>
    <t>ORD1025</t>
  </si>
  <si>
    <t>C030</t>
  </si>
  <si>
    <t>P009</t>
  </si>
  <si>
    <t>ORD1026</t>
  </si>
  <si>
    <t>C006</t>
  </si>
  <si>
    <t>P012</t>
  </si>
  <si>
    <t>ORD1027</t>
  </si>
  <si>
    <t>P001</t>
  </si>
  <si>
    <t>ORD1028</t>
  </si>
  <si>
    <t>C028</t>
  </si>
  <si>
    <t>ORD1029</t>
  </si>
  <si>
    <t>ORD1030</t>
  </si>
  <si>
    <t>C001</t>
  </si>
  <si>
    <t>P034</t>
  </si>
  <si>
    <t>PH</t>
  </si>
  <si>
    <t>ORD1031</t>
  </si>
  <si>
    <t>ORD1032</t>
  </si>
  <si>
    <t>P048</t>
  </si>
  <si>
    <t>ORD1033</t>
  </si>
  <si>
    <t>P025</t>
  </si>
  <si>
    <t>ORD1034</t>
  </si>
  <si>
    <t>ORD1035</t>
  </si>
  <si>
    <t>ORD1036</t>
  </si>
  <si>
    <t>C025</t>
  </si>
  <si>
    <t>ORD1037</t>
  </si>
  <si>
    <t>C017</t>
  </si>
  <si>
    <t>ORD1038</t>
  </si>
  <si>
    <t>C027</t>
  </si>
  <si>
    <t>ORD1039</t>
  </si>
  <si>
    <t>ORD1040</t>
  </si>
  <si>
    <t>C010</t>
  </si>
  <si>
    <t>P022</t>
  </si>
  <si>
    <t>ORD1041</t>
  </si>
  <si>
    <t>P029</t>
  </si>
  <si>
    <t>ORD1042</t>
  </si>
  <si>
    <t>P003</t>
  </si>
  <si>
    <t>ORD1043</t>
  </si>
  <si>
    <t>C016</t>
  </si>
  <si>
    <t>Abuja</t>
  </si>
  <si>
    <t>ORD1044</t>
  </si>
  <si>
    <t>ORD1045</t>
  </si>
  <si>
    <t>ORD1046</t>
  </si>
  <si>
    <t>ORD1047</t>
  </si>
  <si>
    <t>ORD1048</t>
  </si>
  <si>
    <t>ORD1049</t>
  </si>
  <si>
    <t>P014</t>
  </si>
  <si>
    <t>ORD1050</t>
  </si>
  <si>
    <t>ORD1051</t>
  </si>
  <si>
    <t>ORD1052</t>
  </si>
  <si>
    <t>ORD1053</t>
  </si>
  <si>
    <t>P049</t>
  </si>
  <si>
    <t>ORD1054</t>
  </si>
  <si>
    <t>ORD1055</t>
  </si>
  <si>
    <t>C005</t>
  </si>
  <si>
    <t>P046</t>
  </si>
  <si>
    <t>ORD1056</t>
  </si>
  <si>
    <t>ORD1057</t>
  </si>
  <si>
    <t>ORD1058</t>
  </si>
  <si>
    <t>ORD1059</t>
  </si>
  <si>
    <t>C009</t>
  </si>
  <si>
    <t>ORD1060</t>
  </si>
  <si>
    <t>ORD1061</t>
  </si>
  <si>
    <t>C018</t>
  </si>
  <si>
    <t>ORD1062</t>
  </si>
  <si>
    <t>P021</t>
  </si>
  <si>
    <t>ORD1063</t>
  </si>
  <si>
    <t>ORD1064</t>
  </si>
  <si>
    <t>P036</t>
  </si>
  <si>
    <t>ORD1065</t>
  </si>
  <si>
    <t>C014</t>
  </si>
  <si>
    <t>P033</t>
  </si>
  <si>
    <t>ORD1066</t>
  </si>
  <si>
    <t>ORD1067</t>
  </si>
  <si>
    <t>ORD1068</t>
  </si>
  <si>
    <t>ORD1069</t>
  </si>
  <si>
    <t>P010</t>
  </si>
  <si>
    <t>ORD1070</t>
  </si>
  <si>
    <t>ORD1071</t>
  </si>
  <si>
    <t>ORD1072</t>
  </si>
  <si>
    <t>ORD1073</t>
  </si>
  <si>
    <t>P031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</si>
  <si>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</si>
  <si>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</si>
  <si>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</si>
  <si>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</si>
  <si>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</si>
  <si>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</si>
  <si>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</si>
  <si>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</si>
  <si>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</si>
  <si>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P024</t>
  </si>
  <si>
    <t>ORD1083</t>
  </si>
  <si>
    <t>ORD1084</t>
  </si>
  <si>
    <t>P002</t>
  </si>
  <si>
    <t>ORD1085</t>
  </si>
  <si>
    <t>ORD1086</t>
  </si>
  <si>
    <t>ORD1087</t>
  </si>
  <si>
    <t>ORD1088</t>
  </si>
  <si>
    <t>P027</t>
  </si>
  <si>
    <t>ORD1089</t>
  </si>
  <si>
    <t>P020</t>
  </si>
  <si>
    <t>ORD1090</t>
  </si>
  <si>
    <t>ORD1091</t>
  </si>
  <si>
    <t>ORD1092</t>
  </si>
  <si>
    <t>ORD1093</t>
  </si>
  <si>
    <t>ORD1094</t>
  </si>
  <si>
    <t>ORD1095</t>
  </si>
  <si>
    <t>ORD1096</t>
  </si>
  <si>
    <t>P043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</si>
  <si>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</si>
  <si>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</si>
  <si>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</si>
  <si>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</si>
  <si>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</si>
  <si>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</si>
  <si>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</si>
  <si>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</si>
  <si>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</si>
  <si>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</si>
  <si>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</si>
  <si>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</si>
  <si>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</si>
  <si>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</si>
  <si>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</si>
  <si>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</si>
  <si>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</si>
  <si>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</si>
  <si>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</si>
  <si>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C013</t>
  </si>
  <si>
    <t>ORD1116</t>
  </si>
  <si>
    <t>ORD1117</t>
  </si>
  <si>
    <t>P008</t>
  </si>
  <si>
    <t>ORD1118</t>
  </si>
  <si>
    <t>ORD1119</t>
  </si>
  <si>
    <t>ORD1120</t>
  </si>
  <si>
    <t>ORD1121</t>
  </si>
  <si>
    <t>ORD1122</t>
  </si>
  <si>
    <t>ORD1123</t>
  </si>
  <si>
    <t>P041</t>
  </si>
  <si>
    <t>ORD1124</t>
  </si>
  <si>
    <t>P007</t>
  </si>
  <si>
    <t>ORD1125</t>
  </si>
  <si>
    <t>ORD1126</t>
  </si>
  <si>
    <t>ORD1127</t>
  </si>
  <si>
    <t>ORD1128</t>
  </si>
  <si>
    <t>P011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</si>
  <si>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</si>
  <si>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</si>
  <si>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</si>
  <si>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</si>
  <si>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</si>
  <si>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</si>
  <si>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</si>
  <si>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</si>
  <si>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</si>
  <si>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</si>
  <si>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</si>
  <si>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</si>
  <si>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</si>
  <si>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</si>
  <si>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</si>
  <si>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P018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</si>
  <si>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</si>
  <si>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</si>
  <si>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</si>
  <si>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</si>
  <si>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</si>
  <si>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</si>
  <si>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</si>
  <si>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</si>
  <si>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</si>
  <si>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</si>
  <si>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</si>
  <si>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</si>
  <si>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</si>
  <si>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</si>
  <si>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</si>
  <si>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</si>
  <si>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</si>
  <si>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</si>
  <si>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</si>
  <si>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</si>
  <si>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</si>
  <si>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</si>
  <si>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</si>
  <si>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</si>
  <si>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</si>
  <si>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</si>
  <si>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</si>
  <si>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</si>
  <si>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</si>
  <si>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</si>
  <si>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</si>
  <si>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</si>
  <si>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</si>
  <si>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</si>
  <si>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</si>
  <si>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</si>
  <si>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</si>
  <si>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</si>
  <si>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</si>
  <si>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</si>
  <si>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</si>
  <si>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</si>
  <si>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</si>
  <si>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</si>
  <si>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</si>
  <si>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</si>
  <si>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</si>
  <si>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</si>
  <si>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</si>
  <si>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</si>
  <si>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</si>
  <si>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</si>
  <si>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</si>
  <si>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</si>
  <si>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</si>
  <si>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</si>
  <si>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</si>
  <si>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</si>
  <si>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</si>
  <si>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</si>
  <si>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</si>
  <si>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</si>
  <si>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</si>
  <si>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</si>
  <si>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</si>
  <si>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P038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</si>
  <si>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</si>
  <si>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</si>
  <si>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</si>
  <si>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</si>
  <si>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</si>
  <si>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</si>
  <si>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</si>
  <si>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</si>
  <si>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</si>
  <si>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</si>
  <si>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</si>
  <si>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</si>
  <si>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</si>
  <si>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</si>
  <si>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</si>
  <si>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</si>
  <si>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</si>
  <si>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</si>
  <si>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</si>
  <si>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</si>
  <si>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</si>
  <si>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</si>
  <si>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</si>
  <si>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</si>
  <si>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</si>
  <si>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</si>
  <si>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</si>
  <si>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</si>
  <si>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</si>
  <si>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</si>
  <si>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</si>
  <si>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</si>
  <si>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</si>
  <si>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</si>
  <si>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</si>
  <si>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</si>
  <si>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</si>
  <si>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</si>
  <si>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</si>
  <si>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</si>
  <si>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</si>
  <si>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</si>
  <si>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</si>
  <si>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</si>
  <si>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</si>
  <si>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</si>
  <si>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</si>
  <si>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</si>
  <si>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</si>
  <si>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</si>
  <si>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</si>
  <si>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</si>
  <si>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</si>
  <si>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</si>
  <si>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</si>
  <si>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</si>
  <si>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</si>
  <si>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</si>
  <si>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</si>
  <si>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</si>
  <si>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</si>
  <si>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</si>
  <si>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</si>
  <si>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</si>
  <si>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</si>
  <si>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</si>
  <si>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</si>
  <si>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</si>
  <si>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</si>
  <si>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</si>
  <si>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</si>
  <si>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</si>
  <si>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</si>
  <si>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</si>
  <si>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P015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</si>
  <si>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</si>
  <si>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</si>
  <si>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</si>
  <si>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</si>
  <si>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</si>
  <si>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</si>
  <si>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</si>
  <si>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</si>
  <si>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</si>
  <si>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</si>
  <si>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</si>
  <si>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</si>
  <si>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</si>
  <si>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</si>
  <si>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</si>
  <si>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</si>
  <si>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</si>
  <si>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</si>
  <si>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</si>
  <si>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</si>
  <si>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</si>
  <si>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</si>
  <si>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</si>
  <si>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</si>
  <si>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</si>
  <si>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</si>
  <si>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</si>
  <si>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</si>
  <si>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</si>
  <si>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</si>
  <si>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</si>
  <si>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</si>
  <si>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</si>
  <si>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</si>
  <si>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</si>
  <si>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</si>
  <si>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</si>
  <si>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</si>
  <si>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</si>
  <si>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</si>
  <si>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</si>
  <si>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</si>
  <si>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</si>
  <si>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</si>
  <si>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</si>
  <si>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</si>
  <si>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</si>
  <si>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</si>
  <si>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</si>
  <si>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</si>
  <si>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</si>
  <si>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</si>
  <si>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</si>
  <si>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</si>
  <si>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</si>
  <si>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</si>
  <si>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</si>
  <si>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</si>
  <si>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</si>
  <si>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</si>
  <si>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</si>
  <si>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</si>
  <si>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</si>
  <si>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</si>
  <si>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</si>
  <si>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</si>
  <si>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</si>
  <si>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</si>
  <si>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</si>
  <si>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</si>
  <si>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</si>
  <si>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</si>
  <si>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</si>
  <si>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</si>
  <si>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</si>
  <si>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</si>
  <si>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</si>
  <si>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</si>
  <si>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</si>
  <si>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</si>
  <si>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</si>
  <si>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</si>
  <si>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</si>
  <si>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</si>
  <si>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</si>
  <si>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</si>
  <si>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</si>
  <si>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</si>
  <si>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</si>
  <si>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</si>
  <si>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</si>
  <si>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</si>
  <si>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</si>
  <si>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</si>
  <si>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</si>
  <si>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</si>
  <si>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</si>
  <si>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</si>
  <si>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</si>
  <si>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</si>
  <si>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</si>
  <si>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</si>
  <si>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</si>
  <si>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</si>
  <si>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</si>
  <si>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</si>
  <si>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</si>
  <si>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</si>
  <si>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</si>
  <si>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</si>
  <si>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</si>
  <si>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</si>
  <si>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</si>
  <si>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</si>
  <si>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</si>
  <si>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</si>
  <si>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</si>
  <si>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</si>
  <si>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</si>
  <si>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</si>
  <si>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</si>
  <si>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</si>
  <si>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</si>
  <si>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</si>
  <si>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</si>
  <si>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</si>
  <si>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</si>
  <si>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</si>
  <si>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</si>
  <si>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</si>
  <si>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</si>
  <si>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</si>
  <si>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</si>
  <si>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</si>
  <si>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</si>
  <si>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</si>
  <si>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</si>
  <si>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</si>
  <si>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</si>
  <si>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</si>
  <si>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</si>
  <si>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</si>
  <si>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</si>
  <si>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</si>
  <si>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</si>
  <si>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</si>
  <si>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</si>
  <si>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</si>
  <si>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</si>
  <si>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</si>
  <si>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</si>
  <si>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</si>
  <si>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</si>
  <si>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</si>
  <si>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</si>
  <si>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</si>
  <si>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</si>
  <si>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</si>
  <si>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</si>
  <si>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</si>
  <si>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</si>
  <si>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</si>
  <si>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</si>
  <si>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</si>
  <si>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</si>
  <si>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</si>
  <si>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</si>
  <si>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</si>
  <si>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</si>
  <si>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</si>
  <si>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</si>
  <si>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</si>
  <si>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</si>
  <si>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</si>
  <si>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</si>
  <si>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</si>
  <si>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</si>
  <si>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</si>
  <si>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</si>
  <si>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</si>
  <si>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</si>
  <si>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</si>
  <si>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</si>
  <si>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</si>
  <si>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</si>
  <si>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</si>
  <si>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</si>
  <si>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</si>
  <si>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</si>
  <si>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</si>
  <si>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</si>
  <si>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</si>
  <si>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</si>
  <si>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</si>
  <si>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</si>
  <si>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</si>
  <si>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</si>
  <si>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</si>
  <si>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</si>
  <si>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</si>
  <si>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</si>
  <si>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</si>
  <si>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</si>
  <si>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</si>
  <si>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</si>
  <si>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</si>
  <si>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</si>
  <si>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</si>
  <si>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</si>
  <si>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</si>
  <si>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</si>
  <si>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</si>
  <si>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</si>
  <si>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</si>
  <si>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</si>
  <si>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</si>
  <si>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</si>
  <si>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</si>
  <si>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</si>
  <si>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</si>
  <si>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</si>
  <si>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</si>
  <si>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</si>
  <si>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</si>
  <si>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</si>
  <si>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</si>
  <si>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</si>
  <si>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</si>
  <si>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</si>
  <si>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</si>
  <si>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</si>
  <si>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</si>
  <si>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</si>
  <si>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</si>
  <si>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</si>
  <si>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</si>
  <si>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</si>
  <si>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</si>
  <si>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</si>
  <si>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</si>
  <si>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</si>
  <si>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</si>
  <si>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</si>
  <si>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</si>
  <si>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</si>
  <si>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</si>
  <si>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</si>
  <si>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</si>
  <si>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</si>
  <si>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</si>
  <si>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</si>
  <si>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</si>
  <si>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</si>
  <si>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</si>
  <si>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</si>
  <si>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</si>
  <si>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</si>
  <si>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</si>
  <si>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</si>
  <si>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</si>
  <si>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</si>
  <si>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</si>
  <si>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</si>
  <si>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</si>
  <si>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</si>
  <si>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</si>
  <si>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Unit Price (₦)</t>
  </si>
  <si>
    <t>Sales Amount (₦)</t>
  </si>
  <si>
    <t>MoM Growth %=(Current Month−Previous Month​)/Previous Month×100</t>
  </si>
  <si>
    <t>YoY Growth %=(Current Year−Previous Year​)/Previous Year×100</t>
  </si>
  <si>
    <r>
      <t xml:space="preserve">🔹 </t>
    </r>
    <r>
      <rPr>
        <i/>
        <sz val="11"/>
        <color theme="1"/>
        <rFont val="Aptos Narrow"/>
        <family val="2"/>
        <scheme val="minor"/>
      </rPr>
      <t>What does MTD tell management about sales performance?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</si>
  <si>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Month-to-Date (MTD) Sales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</si>
  <si>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🔹 </t>
    </r>
    <r>
      <rPr>
        <i/>
        <sz val="11"/>
        <color theme="1"/>
        <rFont val="Aptos Narrow"/>
        <family val="2"/>
        <scheme val="minor"/>
      </rPr>
      <t>Why is YTD critical for executive reporting?</t>
    </r>
  </si>
  <si>
    <r>
      <t xml:space="preserve">🔹 </t>
    </r>
    <r>
      <rPr>
        <i/>
        <sz val="11"/>
        <color theme="1"/>
        <rFont val="Aptos Narrow"/>
        <family val="2"/>
        <scheme val="minor"/>
      </rPr>
      <t>State whether sales increased or decreased and by what amount.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</si>
  <si>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Year-to-Date (YTD) Sales</t>
    </r>
  </si>
  <si>
    <r>
      <t xml:space="preserve">Determine the </t>
    </r>
    <r>
      <rPr>
        <b/>
        <sz val="11"/>
        <color theme="1"/>
        <rFont val="Aptos Narrow"/>
        <family val="2"/>
        <scheme val="minor"/>
      </rPr>
      <t xml:space="preserve">total sales for the current month </t>
    </r>
    <r>
      <rPr>
        <sz val="11"/>
        <color theme="1"/>
        <rFont val="Aptos Narrow"/>
        <family val="2"/>
        <scheme val="minor"/>
      </rPr>
      <t xml:space="preserve"> and compare it with the last month sales</t>
    </r>
  </si>
  <si>
    <r>
      <t xml:space="preserve">🔹 </t>
    </r>
    <r>
      <rPr>
        <i/>
        <sz val="11"/>
        <color theme="1"/>
        <rFont val="Aptos Narrow"/>
        <family val="2"/>
        <scheme val="minor"/>
      </rPr>
      <t>Calculate the YoY growth percentage.</t>
    </r>
  </si>
  <si>
    <r>
      <t xml:space="preserve">Compare </t>
    </r>
    <r>
      <rPr>
        <b/>
        <sz val="11"/>
        <color theme="1"/>
        <rFont val="Aptos Narrow"/>
        <family val="2"/>
        <scheme val="minor"/>
      </rPr>
      <t>sales of the current year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sales of the previous year</t>
    </r>
  </si>
  <si>
    <t>Rolling averages smooth out daily fluctuations and reveal the true sales trend.</t>
  </si>
  <si>
    <t>Example Business Uses:</t>
  </si>
  <si>
    <r>
      <t>Management dashboards</t>
    </r>
    <r>
      <rPr>
        <sz val="11"/>
        <color theme="1"/>
        <rFont val="Aptos Narrow"/>
        <family val="2"/>
        <scheme val="minor"/>
      </rPr>
      <t xml:space="preserve"> to track performance without daily noise</t>
    </r>
  </si>
  <si>
    <r>
      <t>Demand forecasting</t>
    </r>
    <r>
      <rPr>
        <sz val="11"/>
        <color theme="1"/>
        <rFont val="Aptos Narrow"/>
        <family val="2"/>
        <scheme val="minor"/>
      </rPr>
      <t xml:space="preserve"> for inventory planning</t>
    </r>
  </si>
  <si>
    <r>
      <t>Detecting abnormal spikes or drops</t>
    </r>
    <r>
      <rPr>
        <sz val="11"/>
        <color theme="1"/>
        <rFont val="Aptos Narrow"/>
        <family val="2"/>
        <scheme val="minor"/>
      </rPr>
      <t xml:space="preserve"> in sales</t>
    </r>
  </si>
  <si>
    <r>
      <t>Performance evaluation</t>
    </r>
    <r>
      <rPr>
        <sz val="11"/>
        <color theme="1"/>
        <rFont val="Aptos Narrow"/>
        <family val="2"/>
        <scheme val="minor"/>
      </rPr>
      <t xml:space="preserve"> over time instead of single-day results</t>
    </r>
  </si>
  <si>
    <t>📌 In eCommerce, a rolling average helps managers answer:</t>
  </si>
  <si>
    <t>“Are we actually growing, or was yesterday just a one-off spike?”</t>
  </si>
  <si>
    <t>QTR</t>
  </si>
  <si>
    <t>YEAR</t>
  </si>
  <si>
    <t>Qtr1</t>
  </si>
  <si>
    <t>Qtr2</t>
  </si>
  <si>
    <t>Qtr3</t>
  </si>
  <si>
    <t>Qtr4</t>
  </si>
  <si>
    <t>Forecast(Sales($))</t>
  </si>
  <si>
    <t>Lower Confidence Bound(Sales($))</t>
  </si>
  <si>
    <t>Upper Confidence Bound(Sales($))</t>
  </si>
  <si>
    <t>Sum of Daily Sales</t>
  </si>
  <si>
    <t>Sum of Yesterday Sales</t>
  </si>
  <si>
    <t>Total Quantity of sales by day</t>
  </si>
  <si>
    <t>Total Quantity of sales by month</t>
  </si>
  <si>
    <t>Month on Month Sales</t>
  </si>
  <si>
    <t>Previous Month Sales</t>
  </si>
  <si>
    <t>Month</t>
  </si>
  <si>
    <t>Sum of Current year sales</t>
  </si>
  <si>
    <t>Sum of Previous Year sales</t>
  </si>
  <si>
    <t xml:space="preserve">Year on Year Sales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</si>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</sst>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₦&quot;#,##0.00"/>
    <numFmt numFmtId="165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top"/>
    </xf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0" fillId="3" borderId="0" xfId="0" applyFill="1"/>
    <xf numFmtId="0" fontId="5" fillId="2" borderId="0" xfId="0" applyFont="1" applyFill="1"/>
    <xf numFmtId="165" fontId="0" fillId="0" borderId="0" xfId="0" applyNumberFormat="1"/>
  </cellXfs>
  <cellStyles count="2">
    <cellStyle name="Normal" xfId="0" builtinId="0"/>
    <cellStyle name="Percent" xfId="1" builtinId="5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Sheet1!$B$2:$B$409</c:f>
              <c:numCache>
                <c:formatCode>General</c:formatCode>
                <c:ptCount val="408"/>
                <c:pt idx="0">
                  <c:v>960</c:v>
                </c:pt>
                <c:pt idx="1">
                  <c:v>3872</c:v>
                </c:pt>
                <c:pt idx="2">
                  <c:v>3192</c:v>
                </c:pt>
                <c:pt idx="3">
                  <c:v>566</c:v>
                </c:pt>
                <c:pt idx="4">
                  <c:v>4526</c:v>
                </c:pt>
                <c:pt idx="5">
                  <c:v>3544</c:v>
                </c:pt>
                <c:pt idx="6">
                  <c:v>3271</c:v>
                </c:pt>
                <c:pt idx="7">
                  <c:v>3019</c:v>
                </c:pt>
                <c:pt idx="8">
                  <c:v>230</c:v>
                </c:pt>
                <c:pt idx="9">
                  <c:v>1785</c:v>
                </c:pt>
                <c:pt idx="10">
                  <c:v>869</c:v>
                </c:pt>
                <c:pt idx="11">
                  <c:v>2491</c:v>
                </c:pt>
                <c:pt idx="12">
                  <c:v>2533</c:v>
                </c:pt>
                <c:pt idx="13">
                  <c:v>1284</c:v>
                </c:pt>
                <c:pt idx="14">
                  <c:v>4655</c:v>
                </c:pt>
                <c:pt idx="15">
                  <c:v>3485</c:v>
                </c:pt>
                <c:pt idx="16">
                  <c:v>4217</c:v>
                </c:pt>
                <c:pt idx="17">
                  <c:v>4943</c:v>
                </c:pt>
                <c:pt idx="18">
                  <c:v>3004</c:v>
                </c:pt>
                <c:pt idx="19">
                  <c:v>574</c:v>
                </c:pt>
                <c:pt idx="20">
                  <c:v>1182</c:v>
                </c:pt>
                <c:pt idx="21">
                  <c:v>2658</c:v>
                </c:pt>
                <c:pt idx="22">
                  <c:v>2147</c:v>
                </c:pt>
                <c:pt idx="23">
                  <c:v>2847</c:v>
                </c:pt>
                <c:pt idx="24">
                  <c:v>1075</c:v>
                </c:pt>
                <c:pt idx="25">
                  <c:v>1906</c:v>
                </c:pt>
                <c:pt idx="26">
                  <c:v>289</c:v>
                </c:pt>
                <c:pt idx="27">
                  <c:v>2834</c:v>
                </c:pt>
                <c:pt idx="28">
                  <c:v>3105</c:v>
                </c:pt>
                <c:pt idx="29">
                  <c:v>4758</c:v>
                </c:pt>
                <c:pt idx="30">
                  <c:v>1999</c:v>
                </c:pt>
                <c:pt idx="31">
                  <c:v>1367</c:v>
                </c:pt>
                <c:pt idx="32">
                  <c:v>1628</c:v>
                </c:pt>
                <c:pt idx="33">
                  <c:v>3302</c:v>
                </c:pt>
                <c:pt idx="34">
                  <c:v>3656</c:v>
                </c:pt>
                <c:pt idx="35">
                  <c:v>3990</c:v>
                </c:pt>
                <c:pt idx="36">
                  <c:v>746</c:v>
                </c:pt>
                <c:pt idx="37">
                  <c:v>2988</c:v>
                </c:pt>
                <c:pt idx="38">
                  <c:v>2535</c:v>
                </c:pt>
                <c:pt idx="39">
                  <c:v>700</c:v>
                </c:pt>
                <c:pt idx="40">
                  <c:v>2463</c:v>
                </c:pt>
                <c:pt idx="41">
                  <c:v>2161</c:v>
                </c:pt>
                <c:pt idx="42">
                  <c:v>341</c:v>
                </c:pt>
                <c:pt idx="43">
                  <c:v>2141</c:v>
                </c:pt>
                <c:pt idx="44">
                  <c:v>2924</c:v>
                </c:pt>
                <c:pt idx="45">
                  <c:v>2712</c:v>
                </c:pt>
                <c:pt idx="46">
                  <c:v>1463</c:v>
                </c:pt>
                <c:pt idx="47">
                  <c:v>1578</c:v>
                </c:pt>
                <c:pt idx="48">
                  <c:v>2656</c:v>
                </c:pt>
                <c:pt idx="49">
                  <c:v>875</c:v>
                </c:pt>
                <c:pt idx="50">
                  <c:v>4114</c:v>
                </c:pt>
                <c:pt idx="51">
                  <c:v>134</c:v>
                </c:pt>
                <c:pt idx="52">
                  <c:v>3252</c:v>
                </c:pt>
                <c:pt idx="53">
                  <c:v>2055</c:v>
                </c:pt>
                <c:pt idx="54">
                  <c:v>1685</c:v>
                </c:pt>
                <c:pt idx="55">
                  <c:v>4043</c:v>
                </c:pt>
                <c:pt idx="56">
                  <c:v>3173</c:v>
                </c:pt>
                <c:pt idx="57">
                  <c:v>1121</c:v>
                </c:pt>
                <c:pt idx="58">
                  <c:v>3561</c:v>
                </c:pt>
                <c:pt idx="59">
                  <c:v>2713</c:v>
                </c:pt>
                <c:pt idx="60">
                  <c:v>3943</c:v>
                </c:pt>
                <c:pt idx="61">
                  <c:v>1600</c:v>
                </c:pt>
                <c:pt idx="62">
                  <c:v>4898</c:v>
                </c:pt>
                <c:pt idx="63">
                  <c:v>261</c:v>
                </c:pt>
                <c:pt idx="64">
                  <c:v>4397</c:v>
                </c:pt>
                <c:pt idx="65">
                  <c:v>2081</c:v>
                </c:pt>
                <c:pt idx="66">
                  <c:v>1095</c:v>
                </c:pt>
                <c:pt idx="67">
                  <c:v>3442</c:v>
                </c:pt>
                <c:pt idx="68">
                  <c:v>4651</c:v>
                </c:pt>
                <c:pt idx="69">
                  <c:v>3898</c:v>
                </c:pt>
                <c:pt idx="70">
                  <c:v>1375</c:v>
                </c:pt>
                <c:pt idx="71">
                  <c:v>1116</c:v>
                </c:pt>
                <c:pt idx="72">
                  <c:v>437</c:v>
                </c:pt>
                <c:pt idx="73">
                  <c:v>978</c:v>
                </c:pt>
                <c:pt idx="74">
                  <c:v>1176</c:v>
                </c:pt>
                <c:pt idx="75">
                  <c:v>4987</c:v>
                </c:pt>
                <c:pt idx="76">
                  <c:v>4093</c:v>
                </c:pt>
                <c:pt idx="77">
                  <c:v>4959</c:v>
                </c:pt>
                <c:pt idx="78">
                  <c:v>479</c:v>
                </c:pt>
                <c:pt idx="79">
                  <c:v>592</c:v>
                </c:pt>
                <c:pt idx="80">
                  <c:v>2162</c:v>
                </c:pt>
                <c:pt idx="81">
                  <c:v>3984</c:v>
                </c:pt>
                <c:pt idx="82">
                  <c:v>164</c:v>
                </c:pt>
                <c:pt idx="83">
                  <c:v>2668</c:v>
                </c:pt>
                <c:pt idx="84">
                  <c:v>2127</c:v>
                </c:pt>
                <c:pt idx="85">
                  <c:v>2795</c:v>
                </c:pt>
                <c:pt idx="86">
                  <c:v>1595</c:v>
                </c:pt>
                <c:pt idx="87">
                  <c:v>491</c:v>
                </c:pt>
                <c:pt idx="88">
                  <c:v>4614</c:v>
                </c:pt>
                <c:pt idx="89">
                  <c:v>4574</c:v>
                </c:pt>
                <c:pt idx="90">
                  <c:v>3661</c:v>
                </c:pt>
                <c:pt idx="91">
                  <c:v>2378</c:v>
                </c:pt>
                <c:pt idx="92">
                  <c:v>3199</c:v>
                </c:pt>
                <c:pt idx="93">
                  <c:v>300</c:v>
                </c:pt>
                <c:pt idx="94">
                  <c:v>4975</c:v>
                </c:pt>
                <c:pt idx="95">
                  <c:v>3204</c:v>
                </c:pt>
                <c:pt idx="96">
                  <c:v>4698</c:v>
                </c:pt>
                <c:pt idx="97">
                  <c:v>2554</c:v>
                </c:pt>
                <c:pt idx="98">
                  <c:v>3745</c:v>
                </c:pt>
                <c:pt idx="99">
                  <c:v>904</c:v>
                </c:pt>
                <c:pt idx="100">
                  <c:v>2831</c:v>
                </c:pt>
                <c:pt idx="101">
                  <c:v>2873</c:v>
                </c:pt>
                <c:pt idx="102">
                  <c:v>1670</c:v>
                </c:pt>
                <c:pt idx="103">
                  <c:v>2790</c:v>
                </c:pt>
                <c:pt idx="104">
                  <c:v>3940</c:v>
                </c:pt>
                <c:pt idx="105">
                  <c:v>1128</c:v>
                </c:pt>
                <c:pt idx="106">
                  <c:v>602</c:v>
                </c:pt>
                <c:pt idx="107">
                  <c:v>4593</c:v>
                </c:pt>
                <c:pt idx="108">
                  <c:v>970</c:v>
                </c:pt>
                <c:pt idx="109">
                  <c:v>4588</c:v>
                </c:pt>
                <c:pt idx="110">
                  <c:v>306</c:v>
                </c:pt>
                <c:pt idx="111">
                  <c:v>1584</c:v>
                </c:pt>
                <c:pt idx="112">
                  <c:v>963</c:v>
                </c:pt>
                <c:pt idx="113">
                  <c:v>2890</c:v>
                </c:pt>
                <c:pt idx="114">
                  <c:v>663</c:v>
                </c:pt>
                <c:pt idx="115">
                  <c:v>4291</c:v>
                </c:pt>
                <c:pt idx="116">
                  <c:v>1857</c:v>
                </c:pt>
                <c:pt idx="117">
                  <c:v>1778</c:v>
                </c:pt>
                <c:pt idx="118">
                  <c:v>3342</c:v>
                </c:pt>
                <c:pt idx="119">
                  <c:v>4736</c:v>
                </c:pt>
                <c:pt idx="120">
                  <c:v>1159</c:v>
                </c:pt>
                <c:pt idx="121">
                  <c:v>1822</c:v>
                </c:pt>
                <c:pt idx="122">
                  <c:v>3414</c:v>
                </c:pt>
                <c:pt idx="123">
                  <c:v>3257</c:v>
                </c:pt>
                <c:pt idx="124">
                  <c:v>2725</c:v>
                </c:pt>
                <c:pt idx="125">
                  <c:v>2829</c:v>
                </c:pt>
                <c:pt idx="126">
                  <c:v>1697</c:v>
                </c:pt>
                <c:pt idx="127">
                  <c:v>3160</c:v>
                </c:pt>
                <c:pt idx="128">
                  <c:v>2793</c:v>
                </c:pt>
                <c:pt idx="129">
                  <c:v>4991</c:v>
                </c:pt>
                <c:pt idx="130">
                  <c:v>3727</c:v>
                </c:pt>
                <c:pt idx="131">
                  <c:v>1463</c:v>
                </c:pt>
                <c:pt idx="132">
                  <c:v>2081</c:v>
                </c:pt>
                <c:pt idx="133">
                  <c:v>1763</c:v>
                </c:pt>
                <c:pt idx="134">
                  <c:v>1629</c:v>
                </c:pt>
                <c:pt idx="135">
                  <c:v>2138</c:v>
                </c:pt>
                <c:pt idx="136">
                  <c:v>3402</c:v>
                </c:pt>
                <c:pt idx="137">
                  <c:v>2337</c:v>
                </c:pt>
                <c:pt idx="138">
                  <c:v>1406</c:v>
                </c:pt>
                <c:pt idx="139">
                  <c:v>4129</c:v>
                </c:pt>
                <c:pt idx="140">
                  <c:v>2775</c:v>
                </c:pt>
                <c:pt idx="141">
                  <c:v>1382</c:v>
                </c:pt>
                <c:pt idx="142">
                  <c:v>809</c:v>
                </c:pt>
                <c:pt idx="143">
                  <c:v>4844</c:v>
                </c:pt>
                <c:pt idx="144">
                  <c:v>4513</c:v>
                </c:pt>
                <c:pt idx="145">
                  <c:v>3848</c:v>
                </c:pt>
                <c:pt idx="146">
                  <c:v>4879</c:v>
                </c:pt>
                <c:pt idx="147">
                  <c:v>763</c:v>
                </c:pt>
                <c:pt idx="148">
                  <c:v>2098</c:v>
                </c:pt>
                <c:pt idx="149">
                  <c:v>3545</c:v>
                </c:pt>
                <c:pt idx="150">
                  <c:v>3843</c:v>
                </c:pt>
                <c:pt idx="151">
                  <c:v>1595</c:v>
                </c:pt>
                <c:pt idx="152">
                  <c:v>3404</c:v>
                </c:pt>
                <c:pt idx="153">
                  <c:v>3863</c:v>
                </c:pt>
                <c:pt idx="154">
                  <c:v>1953</c:v>
                </c:pt>
                <c:pt idx="155">
                  <c:v>4759</c:v>
                </c:pt>
                <c:pt idx="156">
                  <c:v>1391</c:v>
                </c:pt>
                <c:pt idx="157">
                  <c:v>3681</c:v>
                </c:pt>
                <c:pt idx="158">
                  <c:v>3557</c:v>
                </c:pt>
                <c:pt idx="159">
                  <c:v>1736</c:v>
                </c:pt>
                <c:pt idx="160">
                  <c:v>3796</c:v>
                </c:pt>
                <c:pt idx="161">
                  <c:v>3099</c:v>
                </c:pt>
                <c:pt idx="162">
                  <c:v>3252</c:v>
                </c:pt>
                <c:pt idx="163">
                  <c:v>798</c:v>
                </c:pt>
                <c:pt idx="164">
                  <c:v>2260</c:v>
                </c:pt>
                <c:pt idx="165">
                  <c:v>4197</c:v>
                </c:pt>
                <c:pt idx="166">
                  <c:v>4837</c:v>
                </c:pt>
                <c:pt idx="167">
                  <c:v>954</c:v>
                </c:pt>
                <c:pt idx="168">
                  <c:v>3574</c:v>
                </c:pt>
                <c:pt idx="169">
                  <c:v>1807</c:v>
                </c:pt>
                <c:pt idx="170">
                  <c:v>2877</c:v>
                </c:pt>
                <c:pt idx="171">
                  <c:v>1833</c:v>
                </c:pt>
                <c:pt idx="172">
                  <c:v>3610</c:v>
                </c:pt>
                <c:pt idx="173">
                  <c:v>302</c:v>
                </c:pt>
                <c:pt idx="174">
                  <c:v>3355</c:v>
                </c:pt>
                <c:pt idx="175">
                  <c:v>4318</c:v>
                </c:pt>
                <c:pt idx="176">
                  <c:v>4596</c:v>
                </c:pt>
                <c:pt idx="177">
                  <c:v>866</c:v>
                </c:pt>
                <c:pt idx="178">
                  <c:v>4489</c:v>
                </c:pt>
                <c:pt idx="179">
                  <c:v>2427</c:v>
                </c:pt>
                <c:pt idx="180">
                  <c:v>3031</c:v>
                </c:pt>
                <c:pt idx="181">
                  <c:v>297</c:v>
                </c:pt>
                <c:pt idx="182">
                  <c:v>2030</c:v>
                </c:pt>
                <c:pt idx="183">
                  <c:v>3682</c:v>
                </c:pt>
                <c:pt idx="184">
                  <c:v>708</c:v>
                </c:pt>
                <c:pt idx="185">
                  <c:v>3372</c:v>
                </c:pt>
                <c:pt idx="186">
                  <c:v>1247</c:v>
                </c:pt>
                <c:pt idx="187">
                  <c:v>4382</c:v>
                </c:pt>
                <c:pt idx="188">
                  <c:v>3497</c:v>
                </c:pt>
                <c:pt idx="189">
                  <c:v>2611</c:v>
                </c:pt>
                <c:pt idx="190">
                  <c:v>1894</c:v>
                </c:pt>
                <c:pt idx="191">
                  <c:v>759</c:v>
                </c:pt>
                <c:pt idx="192">
                  <c:v>2911</c:v>
                </c:pt>
                <c:pt idx="193">
                  <c:v>1469</c:v>
                </c:pt>
                <c:pt idx="194">
                  <c:v>2086</c:v>
                </c:pt>
                <c:pt idx="195">
                  <c:v>246</c:v>
                </c:pt>
                <c:pt idx="196">
                  <c:v>3319</c:v>
                </c:pt>
                <c:pt idx="197">
                  <c:v>3011</c:v>
                </c:pt>
                <c:pt idx="198">
                  <c:v>1834</c:v>
                </c:pt>
                <c:pt idx="199">
                  <c:v>1943</c:v>
                </c:pt>
                <c:pt idx="200">
                  <c:v>588</c:v>
                </c:pt>
                <c:pt idx="201">
                  <c:v>3076</c:v>
                </c:pt>
                <c:pt idx="202">
                  <c:v>2059</c:v>
                </c:pt>
                <c:pt idx="203">
                  <c:v>2485</c:v>
                </c:pt>
                <c:pt idx="204">
                  <c:v>3019</c:v>
                </c:pt>
                <c:pt idx="205">
                  <c:v>4836</c:v>
                </c:pt>
                <c:pt idx="206">
                  <c:v>1902</c:v>
                </c:pt>
                <c:pt idx="207">
                  <c:v>4161</c:v>
                </c:pt>
                <c:pt idx="208">
                  <c:v>3469</c:v>
                </c:pt>
                <c:pt idx="209">
                  <c:v>362</c:v>
                </c:pt>
                <c:pt idx="210">
                  <c:v>723</c:v>
                </c:pt>
                <c:pt idx="211">
                  <c:v>1116</c:v>
                </c:pt>
                <c:pt idx="212">
                  <c:v>3743</c:v>
                </c:pt>
                <c:pt idx="213">
                  <c:v>2149</c:v>
                </c:pt>
                <c:pt idx="214">
                  <c:v>3823</c:v>
                </c:pt>
                <c:pt idx="215">
                  <c:v>4648</c:v>
                </c:pt>
                <c:pt idx="216">
                  <c:v>3208</c:v>
                </c:pt>
                <c:pt idx="217">
                  <c:v>4190</c:v>
                </c:pt>
                <c:pt idx="218">
                  <c:v>2156</c:v>
                </c:pt>
                <c:pt idx="219">
                  <c:v>3270</c:v>
                </c:pt>
                <c:pt idx="220">
                  <c:v>1782</c:v>
                </c:pt>
                <c:pt idx="221">
                  <c:v>2355</c:v>
                </c:pt>
                <c:pt idx="222">
                  <c:v>1254</c:v>
                </c:pt>
                <c:pt idx="223">
                  <c:v>4599</c:v>
                </c:pt>
                <c:pt idx="224">
                  <c:v>3291</c:v>
                </c:pt>
                <c:pt idx="225">
                  <c:v>1796</c:v>
                </c:pt>
                <c:pt idx="226">
                  <c:v>4091</c:v>
                </c:pt>
                <c:pt idx="227">
                  <c:v>4823</c:v>
                </c:pt>
                <c:pt idx="228">
                  <c:v>4782</c:v>
                </c:pt>
                <c:pt idx="229">
                  <c:v>1748</c:v>
                </c:pt>
                <c:pt idx="230">
                  <c:v>1545</c:v>
                </c:pt>
                <c:pt idx="231">
                  <c:v>4299</c:v>
                </c:pt>
                <c:pt idx="232">
                  <c:v>4023</c:v>
                </c:pt>
                <c:pt idx="233">
                  <c:v>353</c:v>
                </c:pt>
                <c:pt idx="234">
                  <c:v>3283</c:v>
                </c:pt>
                <c:pt idx="235">
                  <c:v>2657</c:v>
                </c:pt>
                <c:pt idx="236">
                  <c:v>198</c:v>
                </c:pt>
                <c:pt idx="237">
                  <c:v>2300</c:v>
                </c:pt>
                <c:pt idx="238">
                  <c:v>3061</c:v>
                </c:pt>
                <c:pt idx="239">
                  <c:v>4533</c:v>
                </c:pt>
                <c:pt idx="240">
                  <c:v>3877</c:v>
                </c:pt>
                <c:pt idx="241">
                  <c:v>2969</c:v>
                </c:pt>
                <c:pt idx="242">
                  <c:v>3334</c:v>
                </c:pt>
                <c:pt idx="243">
                  <c:v>3891</c:v>
                </c:pt>
                <c:pt idx="244">
                  <c:v>1056</c:v>
                </c:pt>
                <c:pt idx="245">
                  <c:v>4167</c:v>
                </c:pt>
                <c:pt idx="246">
                  <c:v>260</c:v>
                </c:pt>
                <c:pt idx="247">
                  <c:v>4593</c:v>
                </c:pt>
                <c:pt idx="248">
                  <c:v>1400</c:v>
                </c:pt>
                <c:pt idx="249">
                  <c:v>4087</c:v>
                </c:pt>
                <c:pt idx="250">
                  <c:v>1627</c:v>
                </c:pt>
                <c:pt idx="251">
                  <c:v>1318</c:v>
                </c:pt>
                <c:pt idx="252">
                  <c:v>4596</c:v>
                </c:pt>
                <c:pt idx="253">
                  <c:v>4835</c:v>
                </c:pt>
                <c:pt idx="254">
                  <c:v>3204</c:v>
                </c:pt>
                <c:pt idx="255">
                  <c:v>2835</c:v>
                </c:pt>
                <c:pt idx="256">
                  <c:v>4655</c:v>
                </c:pt>
                <c:pt idx="257">
                  <c:v>1054</c:v>
                </c:pt>
                <c:pt idx="258">
                  <c:v>4665</c:v>
                </c:pt>
                <c:pt idx="259">
                  <c:v>3546</c:v>
                </c:pt>
                <c:pt idx="260">
                  <c:v>1145</c:v>
                </c:pt>
                <c:pt idx="261">
                  <c:v>1793</c:v>
                </c:pt>
                <c:pt idx="262">
                  <c:v>3536</c:v>
                </c:pt>
                <c:pt idx="263">
                  <c:v>662</c:v>
                </c:pt>
                <c:pt idx="264">
                  <c:v>2585</c:v>
                </c:pt>
                <c:pt idx="265">
                  <c:v>3454</c:v>
                </c:pt>
                <c:pt idx="266">
                  <c:v>325</c:v>
                </c:pt>
                <c:pt idx="267">
                  <c:v>4993</c:v>
                </c:pt>
                <c:pt idx="268">
                  <c:v>1059</c:v>
                </c:pt>
                <c:pt idx="269">
                  <c:v>4648</c:v>
                </c:pt>
                <c:pt idx="270">
                  <c:v>3167</c:v>
                </c:pt>
                <c:pt idx="271">
                  <c:v>915</c:v>
                </c:pt>
                <c:pt idx="272">
                  <c:v>4854</c:v>
                </c:pt>
                <c:pt idx="273">
                  <c:v>4742</c:v>
                </c:pt>
                <c:pt idx="274">
                  <c:v>3220</c:v>
                </c:pt>
                <c:pt idx="275">
                  <c:v>116</c:v>
                </c:pt>
                <c:pt idx="276">
                  <c:v>1343</c:v>
                </c:pt>
                <c:pt idx="277">
                  <c:v>2305</c:v>
                </c:pt>
                <c:pt idx="278">
                  <c:v>2624</c:v>
                </c:pt>
                <c:pt idx="279">
                  <c:v>1169</c:v>
                </c:pt>
                <c:pt idx="280">
                  <c:v>3544</c:v>
                </c:pt>
                <c:pt idx="281">
                  <c:v>2665</c:v>
                </c:pt>
                <c:pt idx="282">
                  <c:v>1160</c:v>
                </c:pt>
                <c:pt idx="283">
                  <c:v>2427</c:v>
                </c:pt>
                <c:pt idx="284">
                  <c:v>3520</c:v>
                </c:pt>
                <c:pt idx="285">
                  <c:v>401</c:v>
                </c:pt>
                <c:pt idx="286">
                  <c:v>4376</c:v>
                </c:pt>
                <c:pt idx="287">
                  <c:v>706</c:v>
                </c:pt>
                <c:pt idx="288">
                  <c:v>3270</c:v>
                </c:pt>
                <c:pt idx="289">
                  <c:v>799</c:v>
                </c:pt>
                <c:pt idx="290">
                  <c:v>1239</c:v>
                </c:pt>
                <c:pt idx="291">
                  <c:v>290</c:v>
                </c:pt>
                <c:pt idx="292">
                  <c:v>2400</c:v>
                </c:pt>
                <c:pt idx="293">
                  <c:v>1080</c:v>
                </c:pt>
                <c:pt idx="294">
                  <c:v>3075</c:v>
                </c:pt>
                <c:pt idx="295">
                  <c:v>1284</c:v>
                </c:pt>
                <c:pt idx="296">
                  <c:v>3427</c:v>
                </c:pt>
                <c:pt idx="297">
                  <c:v>3494</c:v>
                </c:pt>
                <c:pt idx="298">
                  <c:v>227</c:v>
                </c:pt>
                <c:pt idx="299">
                  <c:v>2165</c:v>
                </c:pt>
                <c:pt idx="300">
                  <c:v>1916</c:v>
                </c:pt>
                <c:pt idx="301">
                  <c:v>669</c:v>
                </c:pt>
                <c:pt idx="302">
                  <c:v>1995</c:v>
                </c:pt>
                <c:pt idx="303">
                  <c:v>2833</c:v>
                </c:pt>
                <c:pt idx="304">
                  <c:v>3963</c:v>
                </c:pt>
                <c:pt idx="305">
                  <c:v>4821</c:v>
                </c:pt>
                <c:pt idx="306">
                  <c:v>4114</c:v>
                </c:pt>
                <c:pt idx="307">
                  <c:v>3001</c:v>
                </c:pt>
                <c:pt idx="308">
                  <c:v>1786</c:v>
                </c:pt>
                <c:pt idx="309">
                  <c:v>3109</c:v>
                </c:pt>
                <c:pt idx="310">
                  <c:v>254</c:v>
                </c:pt>
                <c:pt idx="311">
                  <c:v>2637</c:v>
                </c:pt>
                <c:pt idx="312">
                  <c:v>1509</c:v>
                </c:pt>
                <c:pt idx="313">
                  <c:v>4157</c:v>
                </c:pt>
                <c:pt idx="314">
                  <c:v>884</c:v>
                </c:pt>
                <c:pt idx="315">
                  <c:v>3275</c:v>
                </c:pt>
                <c:pt idx="316">
                  <c:v>4441</c:v>
                </c:pt>
                <c:pt idx="317">
                  <c:v>2906</c:v>
                </c:pt>
                <c:pt idx="318">
                  <c:v>637</c:v>
                </c:pt>
                <c:pt idx="319">
                  <c:v>1941</c:v>
                </c:pt>
                <c:pt idx="320">
                  <c:v>2555</c:v>
                </c:pt>
                <c:pt idx="321">
                  <c:v>624</c:v>
                </c:pt>
                <c:pt idx="322">
                  <c:v>3050</c:v>
                </c:pt>
                <c:pt idx="323">
                  <c:v>4231</c:v>
                </c:pt>
                <c:pt idx="324">
                  <c:v>4880</c:v>
                </c:pt>
                <c:pt idx="325">
                  <c:v>4215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B-44F4-A7C4-A7945915347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Forecast(Sales($))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Sheet1!$A$2:$A$409</c:f>
              <c:numCache>
                <c:formatCode>m/d/yyyy</c:formatCode>
                <c:ptCount val="408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>
                  <c:v>46023</c:v>
                </c:pt>
                <c:pt idx="185">
                  <c:v>46024</c:v>
                </c:pt>
                <c:pt idx="186">
                  <c:v>46025</c:v>
                </c:pt>
                <c:pt idx="187">
                  <c:v>46026</c:v>
                </c:pt>
                <c:pt idx="188">
                  <c:v>46027</c:v>
                </c:pt>
                <c:pt idx="189">
                  <c:v>46028</c:v>
                </c:pt>
                <c:pt idx="190">
                  <c:v>46029</c:v>
                </c:pt>
                <c:pt idx="191">
                  <c:v>46030</c:v>
                </c:pt>
                <c:pt idx="192">
                  <c:v>46031</c:v>
                </c:pt>
                <c:pt idx="193">
                  <c:v>46032</c:v>
                </c:pt>
                <c:pt idx="194">
                  <c:v>46033</c:v>
                </c:pt>
                <c:pt idx="195">
                  <c:v>46034</c:v>
                </c:pt>
                <c:pt idx="196">
                  <c:v>46035</c:v>
                </c:pt>
                <c:pt idx="197">
                  <c:v>46036</c:v>
                </c:pt>
                <c:pt idx="198">
                  <c:v>46037</c:v>
                </c:pt>
                <c:pt idx="199">
                  <c:v>46038</c:v>
                </c:pt>
                <c:pt idx="200">
                  <c:v>46039</c:v>
                </c:pt>
                <c:pt idx="201">
                  <c:v>46040</c:v>
                </c:pt>
                <c:pt idx="202">
                  <c:v>46041</c:v>
                </c:pt>
                <c:pt idx="203">
                  <c:v>46042</c:v>
                </c:pt>
                <c:pt idx="204">
                  <c:v>46043</c:v>
                </c:pt>
                <c:pt idx="205">
                  <c:v>46044</c:v>
                </c:pt>
                <c:pt idx="206">
                  <c:v>46045</c:v>
                </c:pt>
                <c:pt idx="207">
                  <c:v>46046</c:v>
                </c:pt>
                <c:pt idx="208">
                  <c:v>46047</c:v>
                </c:pt>
                <c:pt idx="209">
                  <c:v>46048</c:v>
                </c:pt>
                <c:pt idx="210">
                  <c:v>46049</c:v>
                </c:pt>
                <c:pt idx="211">
                  <c:v>46050</c:v>
                </c:pt>
                <c:pt idx="212">
                  <c:v>46051</c:v>
                </c:pt>
                <c:pt idx="213">
                  <c:v>46052</c:v>
                </c:pt>
                <c:pt idx="214">
                  <c:v>46053</c:v>
                </c:pt>
                <c:pt idx="215">
                  <c:v>46054</c:v>
                </c:pt>
                <c:pt idx="216">
                  <c:v>46055</c:v>
                </c:pt>
                <c:pt idx="217">
                  <c:v>46056</c:v>
                </c:pt>
                <c:pt idx="218">
                  <c:v>46057</c:v>
                </c:pt>
                <c:pt idx="219">
                  <c:v>46058</c:v>
                </c:pt>
                <c:pt idx="220">
                  <c:v>46059</c:v>
                </c:pt>
                <c:pt idx="221">
                  <c:v>46060</c:v>
                </c:pt>
                <c:pt idx="222">
                  <c:v>46061</c:v>
                </c:pt>
                <c:pt idx="223">
                  <c:v>46062</c:v>
                </c:pt>
                <c:pt idx="224">
                  <c:v>46063</c:v>
                </c:pt>
                <c:pt idx="225">
                  <c:v>46064</c:v>
                </c:pt>
                <c:pt idx="226">
                  <c:v>46065</c:v>
                </c:pt>
                <c:pt idx="227">
                  <c:v>46066</c:v>
                </c:pt>
                <c:pt idx="228">
                  <c:v>46067</c:v>
                </c:pt>
                <c:pt idx="229">
                  <c:v>46068</c:v>
                </c:pt>
                <c:pt idx="230">
                  <c:v>46069</c:v>
                </c:pt>
                <c:pt idx="231">
                  <c:v>46070</c:v>
                </c:pt>
                <c:pt idx="232">
                  <c:v>46071</c:v>
                </c:pt>
                <c:pt idx="233">
                  <c:v>46072</c:v>
                </c:pt>
                <c:pt idx="234">
                  <c:v>46073</c:v>
                </c:pt>
                <c:pt idx="235">
                  <c:v>46074</c:v>
                </c:pt>
                <c:pt idx="236">
                  <c:v>46075</c:v>
                </c:pt>
                <c:pt idx="237">
                  <c:v>46076</c:v>
                </c:pt>
                <c:pt idx="238">
                  <c:v>46077</c:v>
                </c:pt>
                <c:pt idx="239">
                  <c:v>46078</c:v>
                </c:pt>
                <c:pt idx="240">
                  <c:v>46079</c:v>
                </c:pt>
                <c:pt idx="241">
                  <c:v>46080</c:v>
                </c:pt>
                <c:pt idx="242">
                  <c:v>46081</c:v>
                </c:pt>
                <c:pt idx="243">
                  <c:v>46082</c:v>
                </c:pt>
                <c:pt idx="244">
                  <c:v>46083</c:v>
                </c:pt>
                <c:pt idx="245">
                  <c:v>46084</c:v>
                </c:pt>
                <c:pt idx="246">
                  <c:v>46085</c:v>
                </c:pt>
                <c:pt idx="247">
                  <c:v>46086</c:v>
                </c:pt>
                <c:pt idx="248">
                  <c:v>46087</c:v>
                </c:pt>
                <c:pt idx="249">
                  <c:v>46088</c:v>
                </c:pt>
                <c:pt idx="250">
                  <c:v>46089</c:v>
                </c:pt>
                <c:pt idx="251">
                  <c:v>46090</c:v>
                </c:pt>
                <c:pt idx="252">
                  <c:v>46091</c:v>
                </c:pt>
                <c:pt idx="253">
                  <c:v>46092</c:v>
                </c:pt>
                <c:pt idx="254">
                  <c:v>46093</c:v>
                </c:pt>
                <c:pt idx="255">
                  <c:v>46094</c:v>
                </c:pt>
                <c:pt idx="256">
                  <c:v>46095</c:v>
                </c:pt>
                <c:pt idx="257">
                  <c:v>46096</c:v>
                </c:pt>
                <c:pt idx="258">
                  <c:v>46097</c:v>
                </c:pt>
                <c:pt idx="259">
                  <c:v>46098</c:v>
                </c:pt>
                <c:pt idx="260">
                  <c:v>46099</c:v>
                </c:pt>
                <c:pt idx="261">
                  <c:v>46100</c:v>
                </c:pt>
                <c:pt idx="262">
                  <c:v>46101</c:v>
                </c:pt>
                <c:pt idx="263">
                  <c:v>46102</c:v>
                </c:pt>
                <c:pt idx="264">
                  <c:v>46103</c:v>
                </c:pt>
                <c:pt idx="265">
                  <c:v>46104</c:v>
                </c:pt>
                <c:pt idx="266">
                  <c:v>46105</c:v>
                </c:pt>
                <c:pt idx="267">
                  <c:v>46106</c:v>
                </c:pt>
                <c:pt idx="268">
                  <c:v>46107</c:v>
                </c:pt>
                <c:pt idx="269">
                  <c:v>46108</c:v>
                </c:pt>
                <c:pt idx="270">
                  <c:v>46109</c:v>
                </c:pt>
                <c:pt idx="271">
                  <c:v>46110</c:v>
                </c:pt>
                <c:pt idx="272">
                  <c:v>46111</c:v>
                </c:pt>
                <c:pt idx="273">
                  <c:v>46112</c:v>
                </c:pt>
                <c:pt idx="274">
                  <c:v>46113</c:v>
                </c:pt>
                <c:pt idx="275">
                  <c:v>46114</c:v>
                </c:pt>
                <c:pt idx="276">
                  <c:v>46115</c:v>
                </c:pt>
                <c:pt idx="277">
                  <c:v>46116</c:v>
                </c:pt>
                <c:pt idx="278">
                  <c:v>46117</c:v>
                </c:pt>
                <c:pt idx="279">
                  <c:v>46118</c:v>
                </c:pt>
                <c:pt idx="280">
                  <c:v>46119</c:v>
                </c:pt>
                <c:pt idx="281">
                  <c:v>46120</c:v>
                </c:pt>
                <c:pt idx="282">
                  <c:v>46121</c:v>
                </c:pt>
                <c:pt idx="283">
                  <c:v>46122</c:v>
                </c:pt>
                <c:pt idx="284">
                  <c:v>46123</c:v>
                </c:pt>
                <c:pt idx="285">
                  <c:v>46124</c:v>
                </c:pt>
                <c:pt idx="286">
                  <c:v>46125</c:v>
                </c:pt>
                <c:pt idx="287">
                  <c:v>46126</c:v>
                </c:pt>
                <c:pt idx="288">
                  <c:v>46127</c:v>
                </c:pt>
                <c:pt idx="289">
                  <c:v>46128</c:v>
                </c:pt>
                <c:pt idx="290">
                  <c:v>46129</c:v>
                </c:pt>
                <c:pt idx="291">
                  <c:v>46130</c:v>
                </c:pt>
                <c:pt idx="292">
                  <c:v>46131</c:v>
                </c:pt>
                <c:pt idx="293">
                  <c:v>46132</c:v>
                </c:pt>
                <c:pt idx="294">
                  <c:v>46133</c:v>
                </c:pt>
                <c:pt idx="295">
                  <c:v>46134</c:v>
                </c:pt>
                <c:pt idx="296">
                  <c:v>46135</c:v>
                </c:pt>
                <c:pt idx="297">
                  <c:v>46136</c:v>
                </c:pt>
                <c:pt idx="298">
                  <c:v>46137</c:v>
                </c:pt>
                <c:pt idx="299">
                  <c:v>46138</c:v>
                </c:pt>
                <c:pt idx="300">
                  <c:v>46139</c:v>
                </c:pt>
                <c:pt idx="301">
                  <c:v>46140</c:v>
                </c:pt>
                <c:pt idx="302">
                  <c:v>46141</c:v>
                </c:pt>
                <c:pt idx="303">
                  <c:v>46142</c:v>
                </c:pt>
                <c:pt idx="304">
                  <c:v>46143</c:v>
                </c:pt>
                <c:pt idx="305">
                  <c:v>46144</c:v>
                </c:pt>
                <c:pt idx="306">
                  <c:v>46145</c:v>
                </c:pt>
                <c:pt idx="307">
                  <c:v>46146</c:v>
                </c:pt>
                <c:pt idx="308">
                  <c:v>46147</c:v>
                </c:pt>
                <c:pt idx="309">
                  <c:v>46148</c:v>
                </c:pt>
                <c:pt idx="310">
                  <c:v>46149</c:v>
                </c:pt>
                <c:pt idx="311">
                  <c:v>46150</c:v>
                </c:pt>
                <c:pt idx="312">
                  <c:v>46151</c:v>
                </c:pt>
                <c:pt idx="313">
                  <c:v>46152</c:v>
                </c:pt>
                <c:pt idx="314">
                  <c:v>46153</c:v>
                </c:pt>
                <c:pt idx="315">
                  <c:v>46154</c:v>
                </c:pt>
                <c:pt idx="316">
                  <c:v>46155</c:v>
                </c:pt>
                <c:pt idx="317">
                  <c:v>46156</c:v>
                </c:pt>
                <c:pt idx="318">
                  <c:v>46157</c:v>
                </c:pt>
                <c:pt idx="319">
                  <c:v>46158</c:v>
                </c:pt>
                <c:pt idx="320">
                  <c:v>46159</c:v>
                </c:pt>
                <c:pt idx="321">
                  <c:v>46160</c:v>
                </c:pt>
                <c:pt idx="322">
                  <c:v>46161</c:v>
                </c:pt>
                <c:pt idx="323">
                  <c:v>46162</c:v>
                </c:pt>
                <c:pt idx="324">
                  <c:v>46163</c:v>
                </c:pt>
                <c:pt idx="325">
                  <c:v>46164</c:v>
                </c:pt>
                <c:pt idx="326">
                  <c:v>46165</c:v>
                </c:pt>
                <c:pt idx="327">
                  <c:v>46166</c:v>
                </c:pt>
                <c:pt idx="328">
                  <c:v>46167</c:v>
                </c:pt>
                <c:pt idx="329">
                  <c:v>46168</c:v>
                </c:pt>
                <c:pt idx="330">
                  <c:v>46169</c:v>
                </c:pt>
                <c:pt idx="331">
                  <c:v>46170</c:v>
                </c:pt>
                <c:pt idx="332">
                  <c:v>46171</c:v>
                </c:pt>
                <c:pt idx="333">
                  <c:v>46172</c:v>
                </c:pt>
                <c:pt idx="334">
                  <c:v>46173</c:v>
                </c:pt>
                <c:pt idx="335">
                  <c:v>46174</c:v>
                </c:pt>
                <c:pt idx="336">
                  <c:v>46175</c:v>
                </c:pt>
                <c:pt idx="337">
                  <c:v>46176</c:v>
                </c:pt>
                <c:pt idx="338">
                  <c:v>46177</c:v>
                </c:pt>
                <c:pt idx="339">
                  <c:v>46178</c:v>
                </c:pt>
                <c:pt idx="340">
                  <c:v>46179</c:v>
                </c:pt>
                <c:pt idx="341">
                  <c:v>46180</c:v>
                </c:pt>
                <c:pt idx="342">
                  <c:v>46181</c:v>
                </c:pt>
                <c:pt idx="343">
                  <c:v>46182</c:v>
                </c:pt>
                <c:pt idx="344">
                  <c:v>46183</c:v>
                </c:pt>
                <c:pt idx="345">
                  <c:v>46184</c:v>
                </c:pt>
                <c:pt idx="346">
                  <c:v>46185</c:v>
                </c:pt>
                <c:pt idx="347">
                  <c:v>46186</c:v>
                </c:pt>
                <c:pt idx="348">
                  <c:v>46187</c:v>
                </c:pt>
                <c:pt idx="349">
                  <c:v>46188</c:v>
                </c:pt>
                <c:pt idx="350">
                  <c:v>46189</c:v>
                </c:pt>
                <c:pt idx="351">
                  <c:v>46190</c:v>
                </c:pt>
                <c:pt idx="352">
                  <c:v>46191</c:v>
                </c:pt>
                <c:pt idx="353">
                  <c:v>46192</c:v>
                </c:pt>
                <c:pt idx="354">
                  <c:v>46193</c:v>
                </c:pt>
                <c:pt idx="355">
                  <c:v>46194</c:v>
                </c:pt>
                <c:pt idx="356">
                  <c:v>46195</c:v>
                </c:pt>
                <c:pt idx="357">
                  <c:v>46196</c:v>
                </c:pt>
                <c:pt idx="358">
                  <c:v>46197</c:v>
                </c:pt>
                <c:pt idx="359">
                  <c:v>46198</c:v>
                </c:pt>
                <c:pt idx="360">
                  <c:v>46199</c:v>
                </c:pt>
                <c:pt idx="361">
                  <c:v>46200</c:v>
                </c:pt>
                <c:pt idx="362">
                  <c:v>46201</c:v>
                </c:pt>
                <c:pt idx="363">
                  <c:v>46202</c:v>
                </c:pt>
                <c:pt idx="364">
                  <c:v>46203</c:v>
                </c:pt>
                <c:pt idx="365">
                  <c:v>46204</c:v>
                </c:pt>
                <c:pt idx="366">
                  <c:v>46205</c:v>
                </c:pt>
                <c:pt idx="367">
                  <c:v>46206</c:v>
                </c:pt>
                <c:pt idx="368">
                  <c:v>46207</c:v>
                </c:pt>
                <c:pt idx="369">
                  <c:v>46208</c:v>
                </c:pt>
                <c:pt idx="370">
                  <c:v>46209</c:v>
                </c:pt>
                <c:pt idx="371">
                  <c:v>46210</c:v>
                </c:pt>
                <c:pt idx="372">
                  <c:v>46211</c:v>
                </c:pt>
                <c:pt idx="373">
                  <c:v>46212</c:v>
                </c:pt>
                <c:pt idx="374">
                  <c:v>46213</c:v>
                </c:pt>
                <c:pt idx="375">
                  <c:v>46214</c:v>
                </c:pt>
                <c:pt idx="376">
                  <c:v>46215</c:v>
                </c:pt>
                <c:pt idx="377">
                  <c:v>46216</c:v>
                </c:pt>
                <c:pt idx="378">
                  <c:v>46217</c:v>
                </c:pt>
                <c:pt idx="379">
                  <c:v>46218</c:v>
                </c:pt>
                <c:pt idx="380">
                  <c:v>46219</c:v>
                </c:pt>
                <c:pt idx="381">
                  <c:v>46220</c:v>
                </c:pt>
                <c:pt idx="382">
                  <c:v>46221</c:v>
                </c:pt>
                <c:pt idx="383">
                  <c:v>46222</c:v>
                </c:pt>
                <c:pt idx="384">
                  <c:v>46223</c:v>
                </c:pt>
                <c:pt idx="385">
                  <c:v>46224</c:v>
                </c:pt>
                <c:pt idx="386">
                  <c:v>46225</c:v>
                </c:pt>
                <c:pt idx="387">
                  <c:v>46226</c:v>
                </c:pt>
                <c:pt idx="388">
                  <c:v>46227</c:v>
                </c:pt>
                <c:pt idx="389">
                  <c:v>46228</c:v>
                </c:pt>
                <c:pt idx="390">
                  <c:v>46229</c:v>
                </c:pt>
                <c:pt idx="391">
                  <c:v>46230</c:v>
                </c:pt>
                <c:pt idx="392">
                  <c:v>46231</c:v>
                </c:pt>
                <c:pt idx="393">
                  <c:v>46232</c:v>
                </c:pt>
                <c:pt idx="394">
                  <c:v>46233</c:v>
                </c:pt>
                <c:pt idx="395">
                  <c:v>46234</c:v>
                </c:pt>
                <c:pt idx="396">
                  <c:v>46235</c:v>
                </c:pt>
                <c:pt idx="397">
                  <c:v>46236</c:v>
                </c:pt>
                <c:pt idx="398">
                  <c:v>46237</c:v>
                </c:pt>
                <c:pt idx="399">
                  <c:v>46238</c:v>
                </c:pt>
                <c:pt idx="400">
                  <c:v>46239</c:v>
                </c:pt>
                <c:pt idx="401">
                  <c:v>46240</c:v>
                </c:pt>
                <c:pt idx="402">
                  <c:v>46241</c:v>
                </c:pt>
                <c:pt idx="403">
                  <c:v>46242</c:v>
                </c:pt>
                <c:pt idx="404">
                  <c:v>46243</c:v>
                </c:pt>
                <c:pt idx="405">
                  <c:v>46244</c:v>
                </c:pt>
                <c:pt idx="406">
                  <c:v>46245</c:v>
                </c:pt>
                <c:pt idx="407">
                  <c:v>46246</c:v>
                </c:pt>
              </c:numCache>
            </c:numRef>
          </c:cat>
          <c:val>
            <c:numRef>
              <c:f>Sheet1!$C$2:$C$409</c:f>
              <c:numCache>
                <c:formatCode>General</c:formatCode>
                <c:ptCount val="408"/>
                <c:pt idx="325">
                  <c:v>4215</c:v>
                </c:pt>
                <c:pt idx="326">
                  <c:v>4215.5366484969963</c:v>
                </c:pt>
                <c:pt idx="327">
                  <c:v>4216.0732969939936</c:v>
                </c:pt>
                <c:pt idx="328">
                  <c:v>4216.6099454909918</c:v>
                </c:pt>
                <c:pt idx="329">
                  <c:v>4217.146593987989</c:v>
                </c:pt>
                <c:pt idx="330">
                  <c:v>4217.6832424849863</c:v>
                </c:pt>
                <c:pt idx="331">
                  <c:v>4218.2198909819836</c:v>
                </c:pt>
                <c:pt idx="332">
                  <c:v>4218.7565394789817</c:v>
                </c:pt>
                <c:pt idx="333">
                  <c:v>4219.293187975979</c:v>
                </c:pt>
                <c:pt idx="334">
                  <c:v>4219.8298364729762</c:v>
                </c:pt>
                <c:pt idx="335">
                  <c:v>4220.3664849699735</c:v>
                </c:pt>
                <c:pt idx="336">
                  <c:v>4220.9031334669708</c:v>
                </c:pt>
                <c:pt idx="337">
                  <c:v>4221.4397819639689</c:v>
                </c:pt>
                <c:pt idx="338">
                  <c:v>4221.9764304609662</c:v>
                </c:pt>
                <c:pt idx="339">
                  <c:v>4222.5130789579634</c:v>
                </c:pt>
                <c:pt idx="340">
                  <c:v>4223.0497274549607</c:v>
                </c:pt>
                <c:pt idx="341">
                  <c:v>4223.5863759519589</c:v>
                </c:pt>
                <c:pt idx="342">
                  <c:v>4224.1230244489561</c:v>
                </c:pt>
                <c:pt idx="343">
                  <c:v>4224.6596729459534</c:v>
                </c:pt>
                <c:pt idx="344">
                  <c:v>4225.1963214429506</c:v>
                </c:pt>
                <c:pt idx="345">
                  <c:v>4225.7329699399479</c:v>
                </c:pt>
                <c:pt idx="346">
                  <c:v>4226.2696184369461</c:v>
                </c:pt>
                <c:pt idx="347">
                  <c:v>4226.8062669339433</c:v>
                </c:pt>
                <c:pt idx="348">
                  <c:v>4227.3429154309406</c:v>
                </c:pt>
                <c:pt idx="349">
                  <c:v>4227.8795639279379</c:v>
                </c:pt>
                <c:pt idx="350">
                  <c:v>4228.4162124249351</c:v>
                </c:pt>
                <c:pt idx="351">
                  <c:v>4228.9528609219333</c:v>
                </c:pt>
                <c:pt idx="352">
                  <c:v>4229.4895094189305</c:v>
                </c:pt>
                <c:pt idx="353">
                  <c:v>4230.0261579159278</c:v>
                </c:pt>
                <c:pt idx="354">
                  <c:v>4230.5628064129251</c:v>
                </c:pt>
                <c:pt idx="355">
                  <c:v>4231.0994549099232</c:v>
                </c:pt>
                <c:pt idx="356">
                  <c:v>4231.6361034069205</c:v>
                </c:pt>
                <c:pt idx="357">
                  <c:v>4232.1727519039177</c:v>
                </c:pt>
                <c:pt idx="358">
                  <c:v>4232.709400400915</c:v>
                </c:pt>
                <c:pt idx="359">
                  <c:v>4233.2460488979123</c:v>
                </c:pt>
                <c:pt idx="360">
                  <c:v>4233.7826973949104</c:v>
                </c:pt>
                <c:pt idx="361">
                  <c:v>4234.3193458919077</c:v>
                </c:pt>
                <c:pt idx="362">
                  <c:v>4234.8559943889049</c:v>
                </c:pt>
                <c:pt idx="363">
                  <c:v>4235.3926428859022</c:v>
                </c:pt>
                <c:pt idx="364">
                  <c:v>4235.9292913829004</c:v>
                </c:pt>
                <c:pt idx="365">
                  <c:v>4236.4659398798976</c:v>
                </c:pt>
                <c:pt idx="366">
                  <c:v>4237.0025883768949</c:v>
                </c:pt>
                <c:pt idx="367">
                  <c:v>4237.5392368738922</c:v>
                </c:pt>
                <c:pt idx="368">
                  <c:v>4238.0758853708894</c:v>
                </c:pt>
                <c:pt idx="369">
                  <c:v>4238.6125338678876</c:v>
                </c:pt>
                <c:pt idx="370">
                  <c:v>4239.1491823648848</c:v>
                </c:pt>
                <c:pt idx="371">
                  <c:v>4239.6858308618821</c:v>
                </c:pt>
                <c:pt idx="372">
                  <c:v>4240.2224793588794</c:v>
                </c:pt>
                <c:pt idx="373">
                  <c:v>4240.7591278558775</c:v>
                </c:pt>
                <c:pt idx="374">
                  <c:v>4241.2957763528748</c:v>
                </c:pt>
                <c:pt idx="375">
                  <c:v>4241.832424849872</c:v>
                </c:pt>
                <c:pt idx="376">
                  <c:v>4242.3690733468693</c:v>
                </c:pt>
                <c:pt idx="377">
                  <c:v>4242.9057218438666</c:v>
                </c:pt>
                <c:pt idx="378">
                  <c:v>4243.4423703408647</c:v>
                </c:pt>
                <c:pt idx="379">
                  <c:v>4243.979018837862</c:v>
                </c:pt>
                <c:pt idx="380">
                  <c:v>4244.5156673348592</c:v>
                </c:pt>
                <c:pt idx="381">
                  <c:v>4245.0523158318565</c:v>
                </c:pt>
                <c:pt idx="382">
                  <c:v>4245.5889643288547</c:v>
                </c:pt>
                <c:pt idx="383">
                  <c:v>4246.1256128258519</c:v>
                </c:pt>
                <c:pt idx="384">
                  <c:v>4246.6622613228492</c:v>
                </c:pt>
                <c:pt idx="385">
                  <c:v>4247.1989098198464</c:v>
                </c:pt>
                <c:pt idx="386">
                  <c:v>4247.7355583168437</c:v>
                </c:pt>
                <c:pt idx="387">
                  <c:v>4248.2722068138419</c:v>
                </c:pt>
                <c:pt idx="388">
                  <c:v>4248.8088553108391</c:v>
                </c:pt>
                <c:pt idx="389">
                  <c:v>4249.3455038078364</c:v>
                </c:pt>
                <c:pt idx="390">
                  <c:v>4249.8821523048337</c:v>
                </c:pt>
                <c:pt idx="391">
                  <c:v>4250.4188008018309</c:v>
                </c:pt>
                <c:pt idx="392">
                  <c:v>4250.9554492988291</c:v>
                </c:pt>
                <c:pt idx="393">
                  <c:v>4251.4920977958263</c:v>
                </c:pt>
                <c:pt idx="394">
                  <c:v>4252.0287462928236</c:v>
                </c:pt>
                <c:pt idx="395">
                  <c:v>4252.5653947898209</c:v>
                </c:pt>
                <c:pt idx="396">
                  <c:v>4253.102043286819</c:v>
                </c:pt>
                <c:pt idx="397">
                  <c:v>4253.6386917838163</c:v>
                </c:pt>
                <c:pt idx="398">
                  <c:v>4254.1753402808135</c:v>
                </c:pt>
                <c:pt idx="399">
                  <c:v>4254.7119887778108</c:v>
                </c:pt>
                <c:pt idx="400">
                  <c:v>4255.2486372748081</c:v>
                </c:pt>
                <c:pt idx="401">
                  <c:v>4255.7852857718062</c:v>
                </c:pt>
                <c:pt idx="402">
                  <c:v>4256.3219342688035</c:v>
                </c:pt>
                <c:pt idx="403">
                  <c:v>4256.8585827658007</c:v>
                </c:pt>
                <c:pt idx="404">
                  <c:v>4257.395231262798</c:v>
                </c:pt>
                <c:pt idx="405">
                  <c:v>4257.9318797597962</c:v>
                </c:pt>
                <c:pt idx="406">
                  <c:v>4258.4685282567934</c:v>
                </c:pt>
                <c:pt idx="407">
                  <c:v>4259.0051767537907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B-44F4-A7C4-A7945915347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Bound(Sales($))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Sheet1!$A$2:$A$409</c:f>
              <c:numCache>
                <c:formatCode>m/d/yyyy</c:formatCode>
                <c:ptCount val="408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>
                  <c:v>46023</c:v>
                </c:pt>
                <c:pt idx="185">
                  <c:v>46024</c:v>
                </c:pt>
                <c:pt idx="186">
                  <c:v>46025</c:v>
                </c:pt>
                <c:pt idx="187">
                  <c:v>46026</c:v>
                </c:pt>
                <c:pt idx="188">
                  <c:v>46027</c:v>
                </c:pt>
                <c:pt idx="189">
                  <c:v>46028</c:v>
                </c:pt>
                <c:pt idx="190">
                  <c:v>46029</c:v>
                </c:pt>
                <c:pt idx="191">
                  <c:v>46030</c:v>
                </c:pt>
                <c:pt idx="192">
                  <c:v>46031</c:v>
                </c:pt>
                <c:pt idx="193">
                  <c:v>46032</c:v>
                </c:pt>
                <c:pt idx="194">
                  <c:v>46033</c:v>
                </c:pt>
                <c:pt idx="195">
                  <c:v>46034</c:v>
                </c:pt>
                <c:pt idx="196">
                  <c:v>46035</c:v>
                </c:pt>
                <c:pt idx="197">
                  <c:v>46036</c:v>
                </c:pt>
                <c:pt idx="198">
                  <c:v>46037</c:v>
                </c:pt>
                <c:pt idx="199">
                  <c:v>46038</c:v>
                </c:pt>
                <c:pt idx="200">
                  <c:v>46039</c:v>
                </c:pt>
                <c:pt idx="201">
                  <c:v>46040</c:v>
                </c:pt>
                <c:pt idx="202">
                  <c:v>46041</c:v>
                </c:pt>
                <c:pt idx="203">
                  <c:v>46042</c:v>
                </c:pt>
                <c:pt idx="204">
                  <c:v>46043</c:v>
                </c:pt>
                <c:pt idx="205">
                  <c:v>46044</c:v>
                </c:pt>
                <c:pt idx="206">
                  <c:v>46045</c:v>
                </c:pt>
                <c:pt idx="207">
                  <c:v>46046</c:v>
                </c:pt>
                <c:pt idx="208">
                  <c:v>46047</c:v>
                </c:pt>
                <c:pt idx="209">
                  <c:v>46048</c:v>
                </c:pt>
                <c:pt idx="210">
                  <c:v>46049</c:v>
                </c:pt>
                <c:pt idx="211">
                  <c:v>46050</c:v>
                </c:pt>
                <c:pt idx="212">
                  <c:v>46051</c:v>
                </c:pt>
                <c:pt idx="213">
                  <c:v>46052</c:v>
                </c:pt>
                <c:pt idx="214">
                  <c:v>46053</c:v>
                </c:pt>
                <c:pt idx="215">
                  <c:v>46054</c:v>
                </c:pt>
                <c:pt idx="216">
                  <c:v>46055</c:v>
                </c:pt>
                <c:pt idx="217">
                  <c:v>46056</c:v>
                </c:pt>
                <c:pt idx="218">
                  <c:v>46057</c:v>
                </c:pt>
                <c:pt idx="219">
                  <c:v>46058</c:v>
                </c:pt>
                <c:pt idx="220">
                  <c:v>46059</c:v>
                </c:pt>
                <c:pt idx="221">
                  <c:v>46060</c:v>
                </c:pt>
                <c:pt idx="222">
                  <c:v>46061</c:v>
                </c:pt>
                <c:pt idx="223">
                  <c:v>46062</c:v>
                </c:pt>
                <c:pt idx="224">
                  <c:v>46063</c:v>
                </c:pt>
                <c:pt idx="225">
                  <c:v>46064</c:v>
                </c:pt>
                <c:pt idx="226">
                  <c:v>46065</c:v>
                </c:pt>
                <c:pt idx="227">
                  <c:v>46066</c:v>
                </c:pt>
                <c:pt idx="228">
                  <c:v>46067</c:v>
                </c:pt>
                <c:pt idx="229">
                  <c:v>46068</c:v>
                </c:pt>
                <c:pt idx="230">
                  <c:v>46069</c:v>
                </c:pt>
                <c:pt idx="231">
                  <c:v>46070</c:v>
                </c:pt>
                <c:pt idx="232">
                  <c:v>46071</c:v>
                </c:pt>
                <c:pt idx="233">
                  <c:v>46072</c:v>
                </c:pt>
                <c:pt idx="234">
                  <c:v>46073</c:v>
                </c:pt>
                <c:pt idx="235">
                  <c:v>46074</c:v>
                </c:pt>
                <c:pt idx="236">
                  <c:v>46075</c:v>
                </c:pt>
                <c:pt idx="237">
                  <c:v>46076</c:v>
                </c:pt>
                <c:pt idx="238">
                  <c:v>46077</c:v>
                </c:pt>
                <c:pt idx="239">
                  <c:v>46078</c:v>
                </c:pt>
                <c:pt idx="240">
                  <c:v>46079</c:v>
                </c:pt>
                <c:pt idx="241">
                  <c:v>46080</c:v>
                </c:pt>
                <c:pt idx="242">
                  <c:v>46081</c:v>
                </c:pt>
                <c:pt idx="243">
                  <c:v>46082</c:v>
                </c:pt>
                <c:pt idx="244">
                  <c:v>46083</c:v>
                </c:pt>
                <c:pt idx="245">
                  <c:v>46084</c:v>
                </c:pt>
                <c:pt idx="246">
                  <c:v>46085</c:v>
                </c:pt>
                <c:pt idx="247">
                  <c:v>46086</c:v>
                </c:pt>
                <c:pt idx="248">
                  <c:v>46087</c:v>
                </c:pt>
                <c:pt idx="249">
                  <c:v>46088</c:v>
                </c:pt>
                <c:pt idx="250">
                  <c:v>46089</c:v>
                </c:pt>
                <c:pt idx="251">
                  <c:v>46090</c:v>
                </c:pt>
                <c:pt idx="252">
                  <c:v>46091</c:v>
                </c:pt>
                <c:pt idx="253">
                  <c:v>46092</c:v>
                </c:pt>
                <c:pt idx="254">
                  <c:v>46093</c:v>
                </c:pt>
                <c:pt idx="255">
                  <c:v>46094</c:v>
                </c:pt>
                <c:pt idx="256">
                  <c:v>46095</c:v>
                </c:pt>
                <c:pt idx="257">
                  <c:v>46096</c:v>
                </c:pt>
                <c:pt idx="258">
                  <c:v>46097</c:v>
                </c:pt>
                <c:pt idx="259">
                  <c:v>46098</c:v>
                </c:pt>
                <c:pt idx="260">
                  <c:v>46099</c:v>
                </c:pt>
                <c:pt idx="261">
                  <c:v>46100</c:v>
                </c:pt>
                <c:pt idx="262">
                  <c:v>46101</c:v>
                </c:pt>
                <c:pt idx="263">
                  <c:v>46102</c:v>
                </c:pt>
                <c:pt idx="264">
                  <c:v>46103</c:v>
                </c:pt>
                <c:pt idx="265">
                  <c:v>46104</c:v>
                </c:pt>
                <c:pt idx="266">
                  <c:v>46105</c:v>
                </c:pt>
                <c:pt idx="267">
                  <c:v>46106</c:v>
                </c:pt>
                <c:pt idx="268">
                  <c:v>46107</c:v>
                </c:pt>
                <c:pt idx="269">
                  <c:v>46108</c:v>
                </c:pt>
                <c:pt idx="270">
                  <c:v>46109</c:v>
                </c:pt>
                <c:pt idx="271">
                  <c:v>46110</c:v>
                </c:pt>
                <c:pt idx="272">
                  <c:v>46111</c:v>
                </c:pt>
                <c:pt idx="273">
                  <c:v>46112</c:v>
                </c:pt>
                <c:pt idx="274">
                  <c:v>46113</c:v>
                </c:pt>
                <c:pt idx="275">
                  <c:v>46114</c:v>
                </c:pt>
                <c:pt idx="276">
                  <c:v>46115</c:v>
                </c:pt>
                <c:pt idx="277">
                  <c:v>46116</c:v>
                </c:pt>
                <c:pt idx="278">
                  <c:v>46117</c:v>
                </c:pt>
                <c:pt idx="279">
                  <c:v>46118</c:v>
                </c:pt>
                <c:pt idx="280">
                  <c:v>46119</c:v>
                </c:pt>
                <c:pt idx="281">
                  <c:v>46120</c:v>
                </c:pt>
                <c:pt idx="282">
                  <c:v>46121</c:v>
                </c:pt>
                <c:pt idx="283">
                  <c:v>46122</c:v>
                </c:pt>
                <c:pt idx="284">
                  <c:v>46123</c:v>
                </c:pt>
                <c:pt idx="285">
                  <c:v>46124</c:v>
                </c:pt>
                <c:pt idx="286">
                  <c:v>46125</c:v>
                </c:pt>
                <c:pt idx="287">
                  <c:v>46126</c:v>
                </c:pt>
                <c:pt idx="288">
                  <c:v>46127</c:v>
                </c:pt>
                <c:pt idx="289">
                  <c:v>46128</c:v>
                </c:pt>
                <c:pt idx="290">
                  <c:v>46129</c:v>
                </c:pt>
                <c:pt idx="291">
                  <c:v>46130</c:v>
                </c:pt>
                <c:pt idx="292">
                  <c:v>46131</c:v>
                </c:pt>
                <c:pt idx="293">
                  <c:v>46132</c:v>
                </c:pt>
                <c:pt idx="294">
                  <c:v>46133</c:v>
                </c:pt>
                <c:pt idx="295">
                  <c:v>46134</c:v>
                </c:pt>
                <c:pt idx="296">
                  <c:v>46135</c:v>
                </c:pt>
                <c:pt idx="297">
                  <c:v>46136</c:v>
                </c:pt>
                <c:pt idx="298">
                  <c:v>46137</c:v>
                </c:pt>
                <c:pt idx="299">
                  <c:v>46138</c:v>
                </c:pt>
                <c:pt idx="300">
                  <c:v>46139</c:v>
                </c:pt>
                <c:pt idx="301">
                  <c:v>46140</c:v>
                </c:pt>
                <c:pt idx="302">
                  <c:v>46141</c:v>
                </c:pt>
                <c:pt idx="303">
                  <c:v>46142</c:v>
                </c:pt>
                <c:pt idx="304">
                  <c:v>46143</c:v>
                </c:pt>
                <c:pt idx="305">
                  <c:v>46144</c:v>
                </c:pt>
                <c:pt idx="306">
                  <c:v>46145</c:v>
                </c:pt>
                <c:pt idx="307">
                  <c:v>46146</c:v>
                </c:pt>
                <c:pt idx="308">
                  <c:v>46147</c:v>
                </c:pt>
                <c:pt idx="309">
                  <c:v>46148</c:v>
                </c:pt>
                <c:pt idx="310">
                  <c:v>46149</c:v>
                </c:pt>
                <c:pt idx="311">
                  <c:v>46150</c:v>
                </c:pt>
                <c:pt idx="312">
                  <c:v>46151</c:v>
                </c:pt>
                <c:pt idx="313">
                  <c:v>46152</c:v>
                </c:pt>
                <c:pt idx="314">
                  <c:v>46153</c:v>
                </c:pt>
                <c:pt idx="315">
                  <c:v>46154</c:v>
                </c:pt>
                <c:pt idx="316">
                  <c:v>46155</c:v>
                </c:pt>
                <c:pt idx="317">
                  <c:v>46156</c:v>
                </c:pt>
                <c:pt idx="318">
                  <c:v>46157</c:v>
                </c:pt>
                <c:pt idx="319">
                  <c:v>46158</c:v>
                </c:pt>
                <c:pt idx="320">
                  <c:v>46159</c:v>
                </c:pt>
                <c:pt idx="321">
                  <c:v>46160</c:v>
                </c:pt>
                <c:pt idx="322">
                  <c:v>46161</c:v>
                </c:pt>
                <c:pt idx="323">
                  <c:v>46162</c:v>
                </c:pt>
                <c:pt idx="324">
                  <c:v>46163</c:v>
                </c:pt>
                <c:pt idx="325">
                  <c:v>46164</c:v>
                </c:pt>
                <c:pt idx="326">
                  <c:v>46165</c:v>
                </c:pt>
                <c:pt idx="327">
                  <c:v>46166</c:v>
                </c:pt>
                <c:pt idx="328">
                  <c:v>46167</c:v>
                </c:pt>
                <c:pt idx="329">
                  <c:v>46168</c:v>
                </c:pt>
                <c:pt idx="330">
                  <c:v>46169</c:v>
                </c:pt>
                <c:pt idx="331">
                  <c:v>46170</c:v>
                </c:pt>
                <c:pt idx="332">
                  <c:v>46171</c:v>
                </c:pt>
                <c:pt idx="333">
                  <c:v>46172</c:v>
                </c:pt>
                <c:pt idx="334">
                  <c:v>46173</c:v>
                </c:pt>
                <c:pt idx="335">
                  <c:v>46174</c:v>
                </c:pt>
                <c:pt idx="336">
                  <c:v>46175</c:v>
                </c:pt>
                <c:pt idx="337">
                  <c:v>46176</c:v>
                </c:pt>
                <c:pt idx="338">
                  <c:v>46177</c:v>
                </c:pt>
                <c:pt idx="339">
                  <c:v>46178</c:v>
                </c:pt>
                <c:pt idx="340">
                  <c:v>46179</c:v>
                </c:pt>
                <c:pt idx="341">
                  <c:v>46180</c:v>
                </c:pt>
                <c:pt idx="342">
                  <c:v>46181</c:v>
                </c:pt>
                <c:pt idx="343">
                  <c:v>46182</c:v>
                </c:pt>
                <c:pt idx="344">
                  <c:v>46183</c:v>
                </c:pt>
                <c:pt idx="345">
                  <c:v>46184</c:v>
                </c:pt>
                <c:pt idx="346">
                  <c:v>46185</c:v>
                </c:pt>
                <c:pt idx="347">
                  <c:v>46186</c:v>
                </c:pt>
                <c:pt idx="348">
                  <c:v>46187</c:v>
                </c:pt>
                <c:pt idx="349">
                  <c:v>46188</c:v>
                </c:pt>
                <c:pt idx="350">
                  <c:v>46189</c:v>
                </c:pt>
                <c:pt idx="351">
                  <c:v>46190</c:v>
                </c:pt>
                <c:pt idx="352">
                  <c:v>46191</c:v>
                </c:pt>
                <c:pt idx="353">
                  <c:v>46192</c:v>
                </c:pt>
                <c:pt idx="354">
                  <c:v>46193</c:v>
                </c:pt>
                <c:pt idx="355">
                  <c:v>46194</c:v>
                </c:pt>
                <c:pt idx="356">
                  <c:v>46195</c:v>
                </c:pt>
                <c:pt idx="357">
                  <c:v>46196</c:v>
                </c:pt>
                <c:pt idx="358">
                  <c:v>46197</c:v>
                </c:pt>
                <c:pt idx="359">
                  <c:v>46198</c:v>
                </c:pt>
                <c:pt idx="360">
                  <c:v>46199</c:v>
                </c:pt>
                <c:pt idx="361">
                  <c:v>46200</c:v>
                </c:pt>
                <c:pt idx="362">
                  <c:v>46201</c:v>
                </c:pt>
                <c:pt idx="363">
                  <c:v>46202</c:v>
                </c:pt>
                <c:pt idx="364">
                  <c:v>46203</c:v>
                </c:pt>
                <c:pt idx="365">
                  <c:v>46204</c:v>
                </c:pt>
                <c:pt idx="366">
                  <c:v>46205</c:v>
                </c:pt>
                <c:pt idx="367">
                  <c:v>46206</c:v>
                </c:pt>
                <c:pt idx="368">
                  <c:v>46207</c:v>
                </c:pt>
                <c:pt idx="369">
                  <c:v>46208</c:v>
                </c:pt>
                <c:pt idx="370">
                  <c:v>46209</c:v>
                </c:pt>
                <c:pt idx="371">
                  <c:v>46210</c:v>
                </c:pt>
                <c:pt idx="372">
                  <c:v>46211</c:v>
                </c:pt>
                <c:pt idx="373">
                  <c:v>46212</c:v>
                </c:pt>
                <c:pt idx="374">
                  <c:v>46213</c:v>
                </c:pt>
                <c:pt idx="375">
                  <c:v>46214</c:v>
                </c:pt>
                <c:pt idx="376">
                  <c:v>46215</c:v>
                </c:pt>
                <c:pt idx="377">
                  <c:v>46216</c:v>
                </c:pt>
                <c:pt idx="378">
                  <c:v>46217</c:v>
                </c:pt>
                <c:pt idx="379">
                  <c:v>46218</c:v>
                </c:pt>
                <c:pt idx="380">
                  <c:v>46219</c:v>
                </c:pt>
                <c:pt idx="381">
                  <c:v>46220</c:v>
                </c:pt>
                <c:pt idx="382">
                  <c:v>46221</c:v>
                </c:pt>
                <c:pt idx="383">
                  <c:v>46222</c:v>
                </c:pt>
                <c:pt idx="384">
                  <c:v>46223</c:v>
                </c:pt>
                <c:pt idx="385">
                  <c:v>46224</c:v>
                </c:pt>
                <c:pt idx="386">
                  <c:v>46225</c:v>
                </c:pt>
                <c:pt idx="387">
                  <c:v>46226</c:v>
                </c:pt>
                <c:pt idx="388">
                  <c:v>46227</c:v>
                </c:pt>
                <c:pt idx="389">
                  <c:v>46228</c:v>
                </c:pt>
                <c:pt idx="390">
                  <c:v>46229</c:v>
                </c:pt>
                <c:pt idx="391">
                  <c:v>46230</c:v>
                </c:pt>
                <c:pt idx="392">
                  <c:v>46231</c:v>
                </c:pt>
                <c:pt idx="393">
                  <c:v>46232</c:v>
                </c:pt>
                <c:pt idx="394">
                  <c:v>46233</c:v>
                </c:pt>
                <c:pt idx="395">
                  <c:v>46234</c:v>
                </c:pt>
                <c:pt idx="396">
                  <c:v>46235</c:v>
                </c:pt>
                <c:pt idx="397">
                  <c:v>46236</c:v>
                </c:pt>
                <c:pt idx="398">
                  <c:v>46237</c:v>
                </c:pt>
                <c:pt idx="399">
                  <c:v>46238</c:v>
                </c:pt>
                <c:pt idx="400">
                  <c:v>46239</c:v>
                </c:pt>
                <c:pt idx="401">
                  <c:v>46240</c:v>
                </c:pt>
                <c:pt idx="402">
                  <c:v>46241</c:v>
                </c:pt>
                <c:pt idx="403">
                  <c:v>46242</c:v>
                </c:pt>
                <c:pt idx="404">
                  <c:v>46243</c:v>
                </c:pt>
                <c:pt idx="405">
                  <c:v>46244</c:v>
                </c:pt>
                <c:pt idx="406">
                  <c:v>46245</c:v>
                </c:pt>
                <c:pt idx="407">
                  <c:v>46246</c:v>
                </c:pt>
              </c:numCache>
            </c:numRef>
          </c:cat>
          <c:val>
            <c:numRef>
              <c:f>Sheet1!$D$2:$D$409</c:f>
              <c:numCache>
                <c:formatCode>General</c:formatCode>
                <c:ptCount val="408"/>
                <c:pt idx="325" formatCode="0.00">
                  <c:v>4215</c:v>
                </c:pt>
                <c:pt idx="326" formatCode="0.00">
                  <c:v>1374.5889469091935</c:v>
                </c:pt>
                <c:pt idx="327" formatCode="0.00">
                  <c:v>1360.6721081343503</c:v>
                </c:pt>
                <c:pt idx="328" formatCode="0.00">
                  <c:v>1346.5426178407724</c:v>
                </c:pt>
                <c:pt idx="329" formatCode="0.00">
                  <c:v>1332.2009215641001</c:v>
                </c:pt>
                <c:pt idx="330" formatCode="0.00">
                  <c:v>1317.6475023457529</c:v>
                </c:pt>
                <c:pt idx="331" formatCode="0.00">
                  <c:v>1302.8828794247061</c:v>
                </c:pt>
                <c:pt idx="332" formatCode="0.00">
                  <c:v>1287.9076069310363</c:v>
                </c:pt>
                <c:pt idx="333" formatCode="0.00">
                  <c:v>1272.722272583354</c:v>
                </c:pt>
                <c:pt idx="334" formatCode="0.00">
                  <c:v>1257.327496392159</c:v>
                </c:pt>
                <c:pt idx="335" formatCode="0.00">
                  <c:v>1241.7239293710531</c:v>
                </c:pt>
                <c:pt idx="336" formatCode="0.00">
                  <c:v>1225.9122522576358</c:v>
                </c:pt>
                <c:pt idx="337" formatCode="0.00">
                  <c:v>1209.893174245834</c:v>
                </c:pt>
                <c:pt idx="338" formatCode="0.00">
                  <c:v>1193.6674317312845</c:v>
                </c:pt>
                <c:pt idx="339" formatCode="0.00">
                  <c:v>1177.2357870713217</c:v>
                </c:pt>
                <c:pt idx="340" formatCode="0.00">
                  <c:v>1160.5990273609805</c:v>
                </c:pt>
                <c:pt idx="341" formatCode="0.00">
                  <c:v>1143.7579632263632</c:v>
                </c:pt>
                <c:pt idx="342" formatCode="0.00">
                  <c:v>1126.7134276365841</c:v>
                </c:pt>
                <c:pt idx="343" formatCode="0.00">
                  <c:v>1109.4662747354409</c:v>
                </c:pt>
                <c:pt idx="344" formatCode="0.00">
                  <c:v>1092.0173786938331</c:v>
                </c:pt>
                <c:pt idx="345" formatCode="0.00">
                  <c:v>1074.3676325838642</c:v>
                </c:pt>
                <c:pt idx="346" formatCode="0.00">
                  <c:v>1056.5179472754835</c:v>
                </c:pt>
                <c:pt idx="347" formatCode="0.00">
                  <c:v>1038.4692503564065</c:v>
                </c:pt>
                <c:pt idx="348" formatCode="0.00">
                  <c:v>1020.2224850759944</c:v>
                </c:pt>
                <c:pt idx="349" formatCode="0.00">
                  <c:v>1001.7786093136506</c:v>
                </c:pt>
                <c:pt idx="350" formatCode="0.00">
                  <c:v>983.13859457224953</c:v>
                </c:pt>
                <c:pt idx="351" formatCode="0.00">
                  <c:v>964.30342499700873</c:v>
                </c:pt>
                <c:pt idx="352" formatCode="0.00">
                  <c:v>945.27409642012844</c:v>
                </c:pt>
                <c:pt idx="353" formatCode="0.00">
                  <c:v>926.05161543150189</c:v>
                </c:pt>
                <c:pt idx="354" formatCode="0.00">
                  <c:v>906.63699847565158</c:v>
                </c:pt>
                <c:pt idx="355" formatCode="0.00">
                  <c:v>887.0312709750574</c:v>
                </c:pt>
                <c:pt idx="356" formatCode="0.00">
                  <c:v>867.23546647992362</c:v>
                </c:pt>
                <c:pt idx="357" formatCode="0.00">
                  <c:v>847.2506258444123</c:v>
                </c:pt>
                <c:pt idx="358" formatCode="0.00">
                  <c:v>827.07779642928563</c:v>
                </c:pt>
                <c:pt idx="359" formatCode="0.00">
                  <c:v>806.71803133086223</c:v>
                </c:pt>
                <c:pt idx="360" formatCode="0.00">
                  <c:v>786.17238863614602</c:v>
                </c:pt>
                <c:pt idx="361" formatCode="0.00">
                  <c:v>765.44193070392794</c:v>
                </c:pt>
                <c:pt idx="362" formatCode="0.00">
                  <c:v>744.52772347164455</c:v>
                </c:pt>
                <c:pt idx="363" formatCode="0.00">
                  <c:v>723.43083578769756</c:v>
                </c:pt>
                <c:pt idx="364" formatCode="0.00">
                  <c:v>702.15233876894536</c:v>
                </c:pt>
                <c:pt idx="365" formatCode="0.00">
                  <c:v>680.69330518301513</c:v>
                </c:pt>
                <c:pt idx="366" formatCode="0.00">
                  <c:v>659.05480885507995</c:v>
                </c:pt>
                <c:pt idx="367" formatCode="0.00">
                  <c:v>637.23792409868338</c:v>
                </c:pt>
                <c:pt idx="368" formatCode="0.00">
                  <c:v>615.24372517021175</c:v>
                </c:pt>
                <c:pt idx="369" formatCode="0.00">
                  <c:v>593.07328574655867</c:v>
                </c:pt>
                <c:pt idx="370" formatCode="0.00">
                  <c:v>570.72767842552275</c:v>
                </c:pt>
                <c:pt idx="371" formatCode="0.00">
                  <c:v>548.20797424847569</c:v>
                </c:pt>
                <c:pt idx="372" formatCode="0.00">
                  <c:v>525.51524224478317</c:v>
                </c:pt>
                <c:pt idx="373" formatCode="0.00">
                  <c:v>502.65054899749657</c:v>
                </c:pt>
                <c:pt idx="374" formatCode="0.00">
                  <c:v>479.6149582297935</c:v>
                </c:pt>
                <c:pt idx="375" formatCode="0.00">
                  <c:v>456.40953041164721</c:v>
                </c:pt>
                <c:pt idx="376" formatCode="0.00">
                  <c:v>433.03532238619846</c:v>
                </c:pt>
                <c:pt idx="377" formatCode="0.00">
                  <c:v>409.4933870152845</c:v>
                </c:pt>
                <c:pt idx="378" formatCode="0.00">
                  <c:v>385.78477284361861</c:v>
                </c:pt>
                <c:pt idx="379" formatCode="0.00">
                  <c:v>361.91052378104678</c:v>
                </c:pt>
                <c:pt idx="380" formatCode="0.00">
                  <c:v>337.87167880237484</c:v>
                </c:pt>
                <c:pt idx="381" formatCode="0.00">
                  <c:v>313.66927166421283</c:v>
                </c:pt>
                <c:pt idx="382" formatCode="0.00">
                  <c:v>289.30433063831151</c:v>
                </c:pt>
                <c:pt idx="383" formatCode="0.00">
                  <c:v>264.77787826084796</c:v>
                </c:pt>
                <c:pt idx="384" formatCode="0.00">
                  <c:v>240.09093109715786</c:v>
                </c:pt>
                <c:pt idx="385" formatCode="0.00">
                  <c:v>215.24449952137184</c:v>
                </c:pt>
                <c:pt idx="386" formatCode="0.00">
                  <c:v>190.23958751044802</c:v>
                </c:pt>
                <c:pt idx="387" formatCode="0.00">
                  <c:v>165.07719245209682</c:v>
                </c:pt>
                <c:pt idx="388" formatCode="0.00">
                  <c:v>139.75830496609797</c:v>
                </c:pt>
                <c:pt idx="389" formatCode="0.00">
                  <c:v>114.28390873851276</c:v>
                </c:pt>
                <c:pt idx="390" formatCode="0.00">
                  <c:v>88.654980368312863</c:v>
                </c:pt>
                <c:pt idx="391" formatCode="0.00">
                  <c:v>62.87248922595063</c:v>
                </c:pt>
                <c:pt idx="392" formatCode="0.00">
                  <c:v>36.937397323398727</c:v>
                </c:pt>
                <c:pt idx="393" formatCode="0.00">
                  <c:v>10.850659195221851</c:v>
                </c:pt>
                <c:pt idx="394" formatCode="0.00">
                  <c:v>-15.386778209785007</c:v>
                </c:pt>
                <c:pt idx="395" formatCode="0.00">
                  <c:v>-41.773975626807442</c:v>
                </c:pt>
                <c:pt idx="396" formatCode="0.00">
                  <c:v>-68.310001563511833</c:v>
                </c:pt>
                <c:pt idx="397" formatCode="0.00">
                  <c:v>-94.993932379240505</c:v>
                </c:pt>
                <c:pt idx="398" formatCode="0.00">
                  <c:v>-121.82485235529202</c:v>
                </c:pt>
                <c:pt idx="399" formatCode="0.00">
                  <c:v>-148.80185375670226</c:v>
                </c:pt>
                <c:pt idx="400" formatCode="0.00">
                  <c:v>-175.92403688589275</c:v>
                </c:pt>
                <c:pt idx="401" formatCode="0.00">
                  <c:v>-203.19051012854652</c:v>
                </c:pt>
                <c:pt idx="402" formatCode="0.00">
                  <c:v>-230.60038999209337</c:v>
                </c:pt>
                <c:pt idx="403" formatCode="0.00">
                  <c:v>-258.15280113713288</c:v>
                </c:pt>
                <c:pt idx="404" formatCode="0.00">
                  <c:v>-285.84687640213087</c:v>
                </c:pt>
                <c:pt idx="405" formatCode="0.00">
                  <c:v>-313.68175682174024</c:v>
                </c:pt>
                <c:pt idx="406" formatCode="0.00">
                  <c:v>-341.65659163902819</c:v>
                </c:pt>
                <c:pt idx="407" formatCode="0.00">
                  <c:v>-369.77053831193462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2B-44F4-A7C4-A7945915347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Bound(Sales($))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Sheet1!$A$2:$A$409</c:f>
              <c:numCache>
                <c:formatCode>m/d/yyyy</c:formatCode>
                <c:ptCount val="408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>
                  <c:v>46023</c:v>
                </c:pt>
                <c:pt idx="185">
                  <c:v>46024</c:v>
                </c:pt>
                <c:pt idx="186">
                  <c:v>46025</c:v>
                </c:pt>
                <c:pt idx="187">
                  <c:v>46026</c:v>
                </c:pt>
                <c:pt idx="188">
                  <c:v>46027</c:v>
                </c:pt>
                <c:pt idx="189">
                  <c:v>46028</c:v>
                </c:pt>
                <c:pt idx="190">
                  <c:v>46029</c:v>
                </c:pt>
                <c:pt idx="191">
                  <c:v>46030</c:v>
                </c:pt>
                <c:pt idx="192">
                  <c:v>46031</c:v>
                </c:pt>
                <c:pt idx="193">
                  <c:v>46032</c:v>
                </c:pt>
                <c:pt idx="194">
                  <c:v>46033</c:v>
                </c:pt>
                <c:pt idx="195">
                  <c:v>46034</c:v>
                </c:pt>
                <c:pt idx="196">
                  <c:v>46035</c:v>
                </c:pt>
                <c:pt idx="197">
                  <c:v>46036</c:v>
                </c:pt>
                <c:pt idx="198">
                  <c:v>46037</c:v>
                </c:pt>
                <c:pt idx="199">
                  <c:v>46038</c:v>
                </c:pt>
                <c:pt idx="200">
                  <c:v>46039</c:v>
                </c:pt>
                <c:pt idx="201">
                  <c:v>46040</c:v>
                </c:pt>
                <c:pt idx="202">
                  <c:v>46041</c:v>
                </c:pt>
                <c:pt idx="203">
                  <c:v>46042</c:v>
                </c:pt>
                <c:pt idx="204">
                  <c:v>46043</c:v>
                </c:pt>
                <c:pt idx="205">
                  <c:v>46044</c:v>
                </c:pt>
                <c:pt idx="206">
                  <c:v>46045</c:v>
                </c:pt>
                <c:pt idx="207">
                  <c:v>46046</c:v>
                </c:pt>
                <c:pt idx="208">
                  <c:v>46047</c:v>
                </c:pt>
                <c:pt idx="209">
                  <c:v>46048</c:v>
                </c:pt>
                <c:pt idx="210">
                  <c:v>46049</c:v>
                </c:pt>
                <c:pt idx="211">
                  <c:v>46050</c:v>
                </c:pt>
                <c:pt idx="212">
                  <c:v>46051</c:v>
                </c:pt>
                <c:pt idx="213">
                  <c:v>46052</c:v>
                </c:pt>
                <c:pt idx="214">
                  <c:v>46053</c:v>
                </c:pt>
                <c:pt idx="215">
                  <c:v>46054</c:v>
                </c:pt>
                <c:pt idx="216">
                  <c:v>46055</c:v>
                </c:pt>
                <c:pt idx="217">
                  <c:v>46056</c:v>
                </c:pt>
                <c:pt idx="218">
                  <c:v>46057</c:v>
                </c:pt>
                <c:pt idx="219">
                  <c:v>46058</c:v>
                </c:pt>
                <c:pt idx="220">
                  <c:v>46059</c:v>
                </c:pt>
                <c:pt idx="221">
                  <c:v>46060</c:v>
                </c:pt>
                <c:pt idx="222">
                  <c:v>46061</c:v>
                </c:pt>
                <c:pt idx="223">
                  <c:v>46062</c:v>
                </c:pt>
                <c:pt idx="224">
                  <c:v>46063</c:v>
                </c:pt>
                <c:pt idx="225">
                  <c:v>46064</c:v>
                </c:pt>
                <c:pt idx="226">
                  <c:v>46065</c:v>
                </c:pt>
                <c:pt idx="227">
                  <c:v>46066</c:v>
                </c:pt>
                <c:pt idx="228">
                  <c:v>46067</c:v>
                </c:pt>
                <c:pt idx="229">
                  <c:v>46068</c:v>
                </c:pt>
                <c:pt idx="230">
                  <c:v>46069</c:v>
                </c:pt>
                <c:pt idx="231">
                  <c:v>46070</c:v>
                </c:pt>
                <c:pt idx="232">
                  <c:v>46071</c:v>
                </c:pt>
                <c:pt idx="233">
                  <c:v>46072</c:v>
                </c:pt>
                <c:pt idx="234">
                  <c:v>46073</c:v>
                </c:pt>
                <c:pt idx="235">
                  <c:v>46074</c:v>
                </c:pt>
                <c:pt idx="236">
                  <c:v>46075</c:v>
                </c:pt>
                <c:pt idx="237">
                  <c:v>46076</c:v>
                </c:pt>
                <c:pt idx="238">
                  <c:v>46077</c:v>
                </c:pt>
                <c:pt idx="239">
                  <c:v>46078</c:v>
                </c:pt>
                <c:pt idx="240">
                  <c:v>46079</c:v>
                </c:pt>
                <c:pt idx="241">
                  <c:v>46080</c:v>
                </c:pt>
                <c:pt idx="242">
                  <c:v>46081</c:v>
                </c:pt>
                <c:pt idx="243">
                  <c:v>46082</c:v>
                </c:pt>
                <c:pt idx="244">
                  <c:v>46083</c:v>
                </c:pt>
                <c:pt idx="245">
                  <c:v>46084</c:v>
                </c:pt>
                <c:pt idx="246">
                  <c:v>46085</c:v>
                </c:pt>
                <c:pt idx="247">
                  <c:v>46086</c:v>
                </c:pt>
                <c:pt idx="248">
                  <c:v>46087</c:v>
                </c:pt>
                <c:pt idx="249">
                  <c:v>46088</c:v>
                </c:pt>
                <c:pt idx="250">
                  <c:v>46089</c:v>
                </c:pt>
                <c:pt idx="251">
                  <c:v>46090</c:v>
                </c:pt>
                <c:pt idx="252">
                  <c:v>46091</c:v>
                </c:pt>
                <c:pt idx="253">
                  <c:v>46092</c:v>
                </c:pt>
                <c:pt idx="254">
                  <c:v>46093</c:v>
                </c:pt>
                <c:pt idx="255">
                  <c:v>46094</c:v>
                </c:pt>
                <c:pt idx="256">
                  <c:v>46095</c:v>
                </c:pt>
                <c:pt idx="257">
                  <c:v>46096</c:v>
                </c:pt>
                <c:pt idx="258">
                  <c:v>46097</c:v>
                </c:pt>
                <c:pt idx="259">
                  <c:v>46098</c:v>
                </c:pt>
                <c:pt idx="260">
                  <c:v>46099</c:v>
                </c:pt>
                <c:pt idx="261">
                  <c:v>46100</c:v>
                </c:pt>
                <c:pt idx="262">
                  <c:v>46101</c:v>
                </c:pt>
                <c:pt idx="263">
                  <c:v>46102</c:v>
                </c:pt>
                <c:pt idx="264">
                  <c:v>46103</c:v>
                </c:pt>
                <c:pt idx="265">
                  <c:v>46104</c:v>
                </c:pt>
                <c:pt idx="266">
                  <c:v>46105</c:v>
                </c:pt>
                <c:pt idx="267">
                  <c:v>46106</c:v>
                </c:pt>
                <c:pt idx="268">
                  <c:v>46107</c:v>
                </c:pt>
                <c:pt idx="269">
                  <c:v>46108</c:v>
                </c:pt>
                <c:pt idx="270">
                  <c:v>46109</c:v>
                </c:pt>
                <c:pt idx="271">
                  <c:v>46110</c:v>
                </c:pt>
                <c:pt idx="272">
                  <c:v>46111</c:v>
                </c:pt>
                <c:pt idx="273">
                  <c:v>46112</c:v>
                </c:pt>
                <c:pt idx="274">
                  <c:v>46113</c:v>
                </c:pt>
                <c:pt idx="275">
                  <c:v>46114</c:v>
                </c:pt>
                <c:pt idx="276">
                  <c:v>46115</c:v>
                </c:pt>
                <c:pt idx="277">
                  <c:v>46116</c:v>
                </c:pt>
                <c:pt idx="278">
                  <c:v>46117</c:v>
                </c:pt>
                <c:pt idx="279">
                  <c:v>46118</c:v>
                </c:pt>
                <c:pt idx="280">
                  <c:v>46119</c:v>
                </c:pt>
                <c:pt idx="281">
                  <c:v>46120</c:v>
                </c:pt>
                <c:pt idx="282">
                  <c:v>46121</c:v>
                </c:pt>
                <c:pt idx="283">
                  <c:v>46122</c:v>
                </c:pt>
                <c:pt idx="284">
                  <c:v>46123</c:v>
                </c:pt>
                <c:pt idx="285">
                  <c:v>46124</c:v>
                </c:pt>
                <c:pt idx="286">
                  <c:v>46125</c:v>
                </c:pt>
                <c:pt idx="287">
                  <c:v>46126</c:v>
                </c:pt>
                <c:pt idx="288">
                  <c:v>46127</c:v>
                </c:pt>
                <c:pt idx="289">
                  <c:v>46128</c:v>
                </c:pt>
                <c:pt idx="290">
                  <c:v>46129</c:v>
                </c:pt>
                <c:pt idx="291">
                  <c:v>46130</c:v>
                </c:pt>
                <c:pt idx="292">
                  <c:v>46131</c:v>
                </c:pt>
                <c:pt idx="293">
                  <c:v>46132</c:v>
                </c:pt>
                <c:pt idx="294">
                  <c:v>46133</c:v>
                </c:pt>
                <c:pt idx="295">
                  <c:v>46134</c:v>
                </c:pt>
                <c:pt idx="296">
                  <c:v>46135</c:v>
                </c:pt>
                <c:pt idx="297">
                  <c:v>46136</c:v>
                </c:pt>
                <c:pt idx="298">
                  <c:v>46137</c:v>
                </c:pt>
                <c:pt idx="299">
                  <c:v>46138</c:v>
                </c:pt>
                <c:pt idx="300">
                  <c:v>46139</c:v>
                </c:pt>
                <c:pt idx="301">
                  <c:v>46140</c:v>
                </c:pt>
                <c:pt idx="302">
                  <c:v>46141</c:v>
                </c:pt>
                <c:pt idx="303">
                  <c:v>46142</c:v>
                </c:pt>
                <c:pt idx="304">
                  <c:v>46143</c:v>
                </c:pt>
                <c:pt idx="305">
                  <c:v>46144</c:v>
                </c:pt>
                <c:pt idx="306">
                  <c:v>46145</c:v>
                </c:pt>
                <c:pt idx="307">
                  <c:v>46146</c:v>
                </c:pt>
                <c:pt idx="308">
                  <c:v>46147</c:v>
                </c:pt>
                <c:pt idx="309">
                  <c:v>46148</c:v>
                </c:pt>
                <c:pt idx="310">
                  <c:v>46149</c:v>
                </c:pt>
                <c:pt idx="311">
                  <c:v>46150</c:v>
                </c:pt>
                <c:pt idx="312">
                  <c:v>46151</c:v>
                </c:pt>
                <c:pt idx="313">
                  <c:v>46152</c:v>
                </c:pt>
                <c:pt idx="314">
                  <c:v>46153</c:v>
                </c:pt>
                <c:pt idx="315">
                  <c:v>46154</c:v>
                </c:pt>
                <c:pt idx="316">
                  <c:v>46155</c:v>
                </c:pt>
                <c:pt idx="317">
                  <c:v>46156</c:v>
                </c:pt>
                <c:pt idx="318">
                  <c:v>46157</c:v>
                </c:pt>
                <c:pt idx="319">
                  <c:v>46158</c:v>
                </c:pt>
                <c:pt idx="320">
                  <c:v>46159</c:v>
                </c:pt>
                <c:pt idx="321">
                  <c:v>46160</c:v>
                </c:pt>
                <c:pt idx="322">
                  <c:v>46161</c:v>
                </c:pt>
                <c:pt idx="323">
                  <c:v>46162</c:v>
                </c:pt>
                <c:pt idx="324">
                  <c:v>46163</c:v>
                </c:pt>
                <c:pt idx="325">
                  <c:v>46164</c:v>
                </c:pt>
                <c:pt idx="326">
                  <c:v>46165</c:v>
                </c:pt>
                <c:pt idx="327">
                  <c:v>46166</c:v>
                </c:pt>
                <c:pt idx="328">
                  <c:v>46167</c:v>
                </c:pt>
                <c:pt idx="329">
                  <c:v>46168</c:v>
                </c:pt>
                <c:pt idx="330">
                  <c:v>46169</c:v>
                </c:pt>
                <c:pt idx="331">
                  <c:v>46170</c:v>
                </c:pt>
                <c:pt idx="332">
                  <c:v>46171</c:v>
                </c:pt>
                <c:pt idx="333">
                  <c:v>46172</c:v>
                </c:pt>
                <c:pt idx="334">
                  <c:v>46173</c:v>
                </c:pt>
                <c:pt idx="335">
                  <c:v>46174</c:v>
                </c:pt>
                <c:pt idx="336">
                  <c:v>46175</c:v>
                </c:pt>
                <c:pt idx="337">
                  <c:v>46176</c:v>
                </c:pt>
                <c:pt idx="338">
                  <c:v>46177</c:v>
                </c:pt>
                <c:pt idx="339">
                  <c:v>46178</c:v>
                </c:pt>
                <c:pt idx="340">
                  <c:v>46179</c:v>
                </c:pt>
                <c:pt idx="341">
                  <c:v>46180</c:v>
                </c:pt>
                <c:pt idx="342">
                  <c:v>46181</c:v>
                </c:pt>
                <c:pt idx="343">
                  <c:v>46182</c:v>
                </c:pt>
                <c:pt idx="344">
                  <c:v>46183</c:v>
                </c:pt>
                <c:pt idx="345">
                  <c:v>46184</c:v>
                </c:pt>
                <c:pt idx="346">
                  <c:v>46185</c:v>
                </c:pt>
                <c:pt idx="347">
                  <c:v>46186</c:v>
                </c:pt>
                <c:pt idx="348">
                  <c:v>46187</c:v>
                </c:pt>
                <c:pt idx="349">
                  <c:v>46188</c:v>
                </c:pt>
                <c:pt idx="350">
                  <c:v>46189</c:v>
                </c:pt>
                <c:pt idx="351">
                  <c:v>46190</c:v>
                </c:pt>
                <c:pt idx="352">
                  <c:v>46191</c:v>
                </c:pt>
                <c:pt idx="353">
                  <c:v>46192</c:v>
                </c:pt>
                <c:pt idx="354">
                  <c:v>46193</c:v>
                </c:pt>
                <c:pt idx="355">
                  <c:v>46194</c:v>
                </c:pt>
                <c:pt idx="356">
                  <c:v>46195</c:v>
                </c:pt>
                <c:pt idx="357">
                  <c:v>46196</c:v>
                </c:pt>
                <c:pt idx="358">
                  <c:v>46197</c:v>
                </c:pt>
                <c:pt idx="359">
                  <c:v>46198</c:v>
                </c:pt>
                <c:pt idx="360">
                  <c:v>46199</c:v>
                </c:pt>
                <c:pt idx="361">
                  <c:v>46200</c:v>
                </c:pt>
                <c:pt idx="362">
                  <c:v>46201</c:v>
                </c:pt>
                <c:pt idx="363">
                  <c:v>46202</c:v>
                </c:pt>
                <c:pt idx="364">
                  <c:v>46203</c:v>
                </c:pt>
                <c:pt idx="365">
                  <c:v>46204</c:v>
                </c:pt>
                <c:pt idx="366">
                  <c:v>46205</c:v>
                </c:pt>
                <c:pt idx="367">
                  <c:v>46206</c:v>
                </c:pt>
                <c:pt idx="368">
                  <c:v>46207</c:v>
                </c:pt>
                <c:pt idx="369">
                  <c:v>46208</c:v>
                </c:pt>
                <c:pt idx="370">
                  <c:v>46209</c:v>
                </c:pt>
                <c:pt idx="371">
                  <c:v>46210</c:v>
                </c:pt>
                <c:pt idx="372">
                  <c:v>46211</c:v>
                </c:pt>
                <c:pt idx="373">
                  <c:v>46212</c:v>
                </c:pt>
                <c:pt idx="374">
                  <c:v>46213</c:v>
                </c:pt>
                <c:pt idx="375">
                  <c:v>46214</c:v>
                </c:pt>
                <c:pt idx="376">
                  <c:v>46215</c:v>
                </c:pt>
                <c:pt idx="377">
                  <c:v>46216</c:v>
                </c:pt>
                <c:pt idx="378">
                  <c:v>46217</c:v>
                </c:pt>
                <c:pt idx="379">
                  <c:v>46218</c:v>
                </c:pt>
                <c:pt idx="380">
                  <c:v>46219</c:v>
                </c:pt>
                <c:pt idx="381">
                  <c:v>46220</c:v>
                </c:pt>
                <c:pt idx="382">
                  <c:v>46221</c:v>
                </c:pt>
                <c:pt idx="383">
                  <c:v>46222</c:v>
                </c:pt>
                <c:pt idx="384">
                  <c:v>46223</c:v>
                </c:pt>
                <c:pt idx="385">
                  <c:v>46224</c:v>
                </c:pt>
                <c:pt idx="386">
                  <c:v>46225</c:v>
                </c:pt>
                <c:pt idx="387">
                  <c:v>46226</c:v>
                </c:pt>
                <c:pt idx="388">
                  <c:v>46227</c:v>
                </c:pt>
                <c:pt idx="389">
                  <c:v>46228</c:v>
                </c:pt>
                <c:pt idx="390">
                  <c:v>46229</c:v>
                </c:pt>
                <c:pt idx="391">
                  <c:v>46230</c:v>
                </c:pt>
                <c:pt idx="392">
                  <c:v>46231</c:v>
                </c:pt>
                <c:pt idx="393">
                  <c:v>46232</c:v>
                </c:pt>
                <c:pt idx="394">
                  <c:v>46233</c:v>
                </c:pt>
                <c:pt idx="395">
                  <c:v>46234</c:v>
                </c:pt>
                <c:pt idx="396">
                  <c:v>46235</c:v>
                </c:pt>
                <c:pt idx="397">
                  <c:v>46236</c:v>
                </c:pt>
                <c:pt idx="398">
                  <c:v>46237</c:v>
                </c:pt>
                <c:pt idx="399">
                  <c:v>46238</c:v>
                </c:pt>
                <c:pt idx="400">
                  <c:v>46239</c:v>
                </c:pt>
                <c:pt idx="401">
                  <c:v>46240</c:v>
                </c:pt>
                <c:pt idx="402">
                  <c:v>46241</c:v>
                </c:pt>
                <c:pt idx="403">
                  <c:v>46242</c:v>
                </c:pt>
                <c:pt idx="404">
                  <c:v>46243</c:v>
                </c:pt>
                <c:pt idx="405">
                  <c:v>46244</c:v>
                </c:pt>
                <c:pt idx="406">
                  <c:v>46245</c:v>
                </c:pt>
                <c:pt idx="407">
                  <c:v>46246</c:v>
                </c:pt>
              </c:numCache>
            </c:numRef>
          </c:cat>
          <c:val>
            <c:numRef>
              <c:f>Sheet1!$E$2:$E$409</c:f>
              <c:numCache>
                <c:formatCode>General</c:formatCode>
                <c:ptCount val="408"/>
                <c:pt idx="325" formatCode="0.00">
                  <c:v>4215</c:v>
                </c:pt>
                <c:pt idx="326" formatCode="0.00">
                  <c:v>7056.4843500847992</c:v>
                </c:pt>
                <c:pt idx="327" formatCode="0.00">
                  <c:v>7071.4744858536369</c:v>
                </c:pt>
                <c:pt idx="328" formatCode="0.00">
                  <c:v>7086.6772731412111</c:v>
                </c:pt>
                <c:pt idx="329" formatCode="0.00">
                  <c:v>7102.092266411878</c:v>
                </c:pt>
                <c:pt idx="330" formatCode="0.00">
                  <c:v>7117.7189826242193</c:v>
                </c:pt>
                <c:pt idx="331" formatCode="0.00">
                  <c:v>7133.5569025392615</c:v>
                </c:pt>
                <c:pt idx="332" formatCode="0.00">
                  <c:v>7149.6054720269276</c:v>
                </c:pt>
                <c:pt idx="333" formatCode="0.00">
                  <c:v>7165.8641033686035</c:v>
                </c:pt>
                <c:pt idx="334" formatCode="0.00">
                  <c:v>7182.332176553793</c:v>
                </c:pt>
                <c:pt idx="335" formatCode="0.00">
                  <c:v>7199.0090405688934</c:v>
                </c:pt>
                <c:pt idx="336" formatCode="0.00">
                  <c:v>7215.8940146763052</c:v>
                </c:pt>
                <c:pt idx="337" formatCode="0.00">
                  <c:v>7232.9863896821043</c:v>
                </c:pt>
                <c:pt idx="338" formatCode="0.00">
                  <c:v>7250.2854291906478</c:v>
                </c:pt>
                <c:pt idx="339" formatCode="0.00">
                  <c:v>7267.7903708446047</c:v>
                </c:pt>
                <c:pt idx="340" formatCode="0.00">
                  <c:v>7285.5004275489409</c:v>
                </c:pt>
                <c:pt idx="341" formatCode="0.00">
                  <c:v>7303.4147886775545</c:v>
                </c:pt>
                <c:pt idx="342" formatCode="0.00">
                  <c:v>7321.5326212613281</c:v>
                </c:pt>
                <c:pt idx="343" formatCode="0.00">
                  <c:v>7339.8530711564654</c:v>
                </c:pt>
                <c:pt idx="344" formatCode="0.00">
                  <c:v>7358.3752641920682</c:v>
                </c:pt>
                <c:pt idx="345" formatCode="0.00">
                  <c:v>7377.0983072960316</c:v>
                </c:pt>
                <c:pt idx="346" formatCode="0.00">
                  <c:v>7396.0212895984087</c:v>
                </c:pt>
                <c:pt idx="347" formatCode="0.00">
                  <c:v>7415.1432835114801</c:v>
                </c:pt>
                <c:pt idx="348" formatCode="0.00">
                  <c:v>7434.4633457858872</c:v>
                </c:pt>
                <c:pt idx="349" formatCode="0.00">
                  <c:v>7453.9805185422247</c:v>
                </c:pt>
                <c:pt idx="350" formatCode="0.00">
                  <c:v>7473.6938302776207</c:v>
                </c:pt>
                <c:pt idx="351" formatCode="0.00">
                  <c:v>7493.6022968468578</c:v>
                </c:pt>
                <c:pt idx="352" formatCode="0.00">
                  <c:v>7513.7049224177326</c:v>
                </c:pt>
                <c:pt idx="353" formatCode="0.00">
                  <c:v>7534.0007004003537</c:v>
                </c:pt>
                <c:pt idx="354" formatCode="0.00">
                  <c:v>7554.488614350199</c:v>
                </c:pt>
                <c:pt idx="355" formatCode="0.00">
                  <c:v>7575.1676388447886</c:v>
                </c:pt>
                <c:pt idx="356" formatCode="0.00">
                  <c:v>7596.0367403339169</c:v>
                </c:pt>
                <c:pt idx="357" formatCode="0.00">
                  <c:v>7617.0948779634236</c:v>
                </c:pt>
                <c:pt idx="358" formatCode="0.00">
                  <c:v>7638.3410043725444</c:v>
                </c:pt>
                <c:pt idx="359" formatCode="0.00">
                  <c:v>7659.7740664649627</c:v>
                </c:pt>
                <c:pt idx="360" formatCode="0.00">
                  <c:v>7681.3930061536748</c:v>
                </c:pt>
                <c:pt idx="361" formatCode="0.00">
                  <c:v>7703.1967610798874</c:v>
                </c:pt>
                <c:pt idx="362" formatCode="0.00">
                  <c:v>7725.1842653061649</c:v>
                </c:pt>
                <c:pt idx="363" formatCode="0.00">
                  <c:v>7747.3544499841064</c:v>
                </c:pt>
                <c:pt idx="364" formatCode="0.00">
                  <c:v>7769.7062439968558</c:v>
                </c:pt>
                <c:pt idx="365" formatCode="0.00">
                  <c:v>7792.2385745767806</c:v>
                </c:pt>
                <c:pt idx="366" formatCode="0.00">
                  <c:v>7814.9503678987094</c:v>
                </c:pt>
                <c:pt idx="367" formatCode="0.00">
                  <c:v>7837.8405496491014</c:v>
                </c:pt>
                <c:pt idx="368" formatCode="0.00">
                  <c:v>7860.9080455715666</c:v>
                </c:pt>
                <c:pt idx="369" formatCode="0.00">
                  <c:v>7884.151781989216</c:v>
                </c:pt>
                <c:pt idx="370" formatCode="0.00">
                  <c:v>7907.5706863042469</c:v>
                </c:pt>
                <c:pt idx="371" formatCode="0.00">
                  <c:v>7931.1636874752885</c:v>
                </c:pt>
                <c:pt idx="372" formatCode="0.00">
                  <c:v>7954.929716472976</c:v>
                </c:pt>
                <c:pt idx="373" formatCode="0.00">
                  <c:v>7978.867706714258</c:v>
                </c:pt>
                <c:pt idx="374" formatCode="0.00">
                  <c:v>8002.9765944759565</c:v>
                </c:pt>
                <c:pt idx="375" formatCode="0.00">
                  <c:v>8027.2553192880969</c:v>
                </c:pt>
                <c:pt idx="376" formatCode="0.00">
                  <c:v>8051.7028243075401</c:v>
                </c:pt>
                <c:pt idx="377" formatCode="0.00">
                  <c:v>8076.3180566724486</c:v>
                </c:pt>
                <c:pt idx="378" formatCode="0.00">
                  <c:v>8101.0999678381104</c:v>
                </c:pt>
                <c:pt idx="379" formatCode="0.00">
                  <c:v>8126.0475138946767</c:v>
                </c:pt>
                <c:pt idx="380" formatCode="0.00">
                  <c:v>8151.1596558673436</c:v>
                </c:pt>
                <c:pt idx="381" formatCode="0.00">
                  <c:v>8176.4353599995002</c:v>
                </c:pt>
                <c:pt idx="382" formatCode="0.00">
                  <c:v>8201.8735980193978</c:v>
                </c:pt>
                <c:pt idx="383" formatCode="0.00">
                  <c:v>8227.4733473908564</c:v>
                </c:pt>
                <c:pt idx="384" formatCode="0.00">
                  <c:v>8253.2335915485401</c:v>
                </c:pt>
                <c:pt idx="385" formatCode="0.00">
                  <c:v>8279.1533201183211</c:v>
                </c:pt>
                <c:pt idx="386" formatCode="0.00">
                  <c:v>8305.2315291232389</c:v>
                </c:pt>
                <c:pt idx="387" formatCode="0.00">
                  <c:v>8331.467221175586</c:v>
                </c:pt>
                <c:pt idx="388" formatCode="0.00">
                  <c:v>8357.8594056555812</c:v>
                </c:pt>
                <c:pt idx="389" formatCode="0.00">
                  <c:v>8384.40709887716</c:v>
                </c:pt>
                <c:pt idx="390" formatCode="0.00">
                  <c:v>8411.1093242413554</c:v>
                </c:pt>
                <c:pt idx="391" formatCode="0.00">
                  <c:v>8437.9651123777112</c:v>
                </c:pt>
                <c:pt idx="392" formatCode="0.00">
                  <c:v>8464.9735012742603</c:v>
                </c:pt>
                <c:pt idx="393" formatCode="0.00">
                  <c:v>8492.1335363964317</c:v>
                </c:pt>
                <c:pt idx="394" formatCode="0.00">
                  <c:v>8519.4442707954331</c:v>
                </c:pt>
                <c:pt idx="395" formatCode="0.00">
                  <c:v>8546.9047652064492</c:v>
                </c:pt>
                <c:pt idx="396" formatCode="0.00">
                  <c:v>8574.5140881371499</c:v>
                </c:pt>
                <c:pt idx="397" formatCode="0.00">
                  <c:v>8602.2713159468731</c:v>
                </c:pt>
                <c:pt idx="398" formatCode="0.00">
                  <c:v>8630.1755329169191</c:v>
                </c:pt>
                <c:pt idx="399" formatCode="0.00">
                  <c:v>8658.2258313123239</c:v>
                </c:pt>
                <c:pt idx="400" formatCode="0.00">
                  <c:v>8686.421311435508</c:v>
                </c:pt>
                <c:pt idx="401" formatCode="0.00">
                  <c:v>8714.761081672159</c:v>
                </c:pt>
                <c:pt idx="402" formatCode="0.00">
                  <c:v>8743.2442585296994</c:v>
                </c:pt>
                <c:pt idx="403" formatCode="0.00">
                  <c:v>8771.8699666687353</c:v>
                </c:pt>
                <c:pt idx="404" formatCode="0.00">
                  <c:v>8800.6373389277269</c:v>
                </c:pt>
                <c:pt idx="405" formatCode="0.00">
                  <c:v>8829.5455163413317</c:v>
                </c:pt>
                <c:pt idx="406" formatCode="0.00">
                  <c:v>8858.5936481526151</c:v>
                </c:pt>
                <c:pt idx="407" formatCode="0.00">
                  <c:v>8887.7808918195151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2B-44F4-A7C4-A7945915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91391"/>
        <c:axId val="500292351"/>
      </c:lineChart>
      <c:catAx>
        <c:axId val="50029139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92351"/>
        <c:crosses val="autoZero"/>
        <c:auto val="1"/>
        <c:lblAlgn val="ctr"/>
        <c:lblOffset val="100"/>
        <c:noMultiLvlLbl val="0"/>
      </c:catAx>
      <c:valAx>
        <c:axId val="50029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9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0</xdr:row>
      <xdr:rowOff>0</xdr:rowOff>
    </xdr:from>
    <xdr:to>
      <xdr:col>20</xdr:col>
      <xdr:colOff>409575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1D9E9-E2BE-7988-C2F8-C431185CB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0</xdr:rowOff>
    </xdr:from>
    <xdr:to>
      <xdr:col>17</xdr:col>
      <xdr:colOff>285750</xdr:colOff>
      <xdr:row>3</xdr:row>
      <xdr:rowOff>31750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299CADD-8D73-7B29-BD8C-377C003C70E5}"/>
            </a:ext>
          </a:extLst>
        </xdr:cNvPr>
        <xdr:cNvSpPr/>
      </xdr:nvSpPr>
      <xdr:spPr>
        <a:xfrm>
          <a:off x="12700" y="0"/>
          <a:ext cx="10636250" cy="584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12701</xdr:colOff>
      <xdr:row>0</xdr:row>
      <xdr:rowOff>1</xdr:rowOff>
    </xdr:from>
    <xdr:to>
      <xdr:col>10</xdr:col>
      <xdr:colOff>584201</xdr:colOff>
      <xdr:row>3</xdr:row>
      <xdr:rowOff>150295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389603-27B0-0972-B24B-3E6079332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1" y="1"/>
          <a:ext cx="6667500" cy="702744"/>
        </a:xfrm>
        <a:prstGeom prst="rect">
          <a:avLst/>
        </a:prstGeom>
      </xdr:spPr>
    </xdr:pic>
    <xdr:clientData/>
  </xdr:twoCellAnchor>
  <xdr:twoCellAnchor>
    <xdr:from>
      <xdr:col>13</xdr:col>
      <xdr:colOff>146050</xdr:colOff>
      <xdr:row>0</xdr:row>
      <xdr:rowOff>19050</xdr:rowOff>
    </xdr:from>
    <xdr:to>
      <xdr:col>17</xdr:col>
      <xdr:colOff>419100</xdr:colOff>
      <xdr:row>3</xdr:row>
      <xdr:rowOff>38100</xdr:rowOff>
    </xdr:to>
    <xdr:sp macro="" textlink="'Data Set'!N1">
      <xdr:nvSpPr>
        <xdr:cNvPr id="6" name="Rectangle: Rounded Corners 5">
          <a:extLst>
            <a:ext uri="{FF2B5EF4-FFF2-40B4-BE49-F238E27FC236}">
              <a16:creationId xmlns:a16="http://schemas.microsoft.com/office/drawing/2014/main" id="{73635EF4-6728-D78B-5BCD-51419F5E75FC}"/>
            </a:ext>
          </a:extLst>
        </xdr:cNvPr>
        <xdr:cNvSpPr/>
      </xdr:nvSpPr>
      <xdr:spPr>
        <a:xfrm>
          <a:off x="8070850" y="19050"/>
          <a:ext cx="2711450" cy="571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22C92E7-9A2A-491A-8A62-0CA2401F05FA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Saturday, 23 May 2026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3</xdr:row>
      <xdr:rowOff>101600</xdr:rowOff>
    </xdr:from>
    <xdr:to>
      <xdr:col>3</xdr:col>
      <xdr:colOff>228600</xdr:colOff>
      <xdr:row>6</xdr:row>
      <xdr:rowOff>177800</xdr:rowOff>
    </xdr:to>
    <xdr:sp macro="" textlink="'Data Set'!N2">
      <xdr:nvSpPr>
        <xdr:cNvPr id="8" name="Rectangle: Rounded Corners 7">
          <a:extLst>
            <a:ext uri="{FF2B5EF4-FFF2-40B4-BE49-F238E27FC236}">
              <a16:creationId xmlns:a16="http://schemas.microsoft.com/office/drawing/2014/main" id="{2153BF25-7D04-8E2B-CF68-5162EA24955F}"/>
            </a:ext>
          </a:extLst>
        </xdr:cNvPr>
        <xdr:cNvSpPr/>
      </xdr:nvSpPr>
      <xdr:spPr>
        <a:xfrm>
          <a:off x="0" y="654050"/>
          <a:ext cx="205740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059F01F-435A-4321-83D8-EF3D28E75128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₦0.00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3</xdr:row>
      <xdr:rowOff>69850</xdr:rowOff>
    </xdr:from>
    <xdr:to>
      <xdr:col>3</xdr:col>
      <xdr:colOff>203200</xdr:colOff>
      <xdr:row>4</xdr:row>
      <xdr:rowOff>127000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1EDAC26-106D-3E96-9633-9E7668E94923}"/>
            </a:ext>
          </a:extLst>
        </xdr:cNvPr>
        <xdr:cNvSpPr/>
      </xdr:nvSpPr>
      <xdr:spPr>
        <a:xfrm>
          <a:off x="0" y="622300"/>
          <a:ext cx="2032000" cy="2413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Sum of Daily Sales</a:t>
          </a:r>
        </a:p>
      </xdr:txBody>
    </xdr:sp>
    <xdr:clientData/>
  </xdr:twoCellAnchor>
  <xdr:twoCellAnchor>
    <xdr:from>
      <xdr:col>3</xdr:col>
      <xdr:colOff>349250</xdr:colOff>
      <xdr:row>3</xdr:row>
      <xdr:rowOff>107950</xdr:rowOff>
    </xdr:from>
    <xdr:to>
      <xdr:col>6</xdr:col>
      <xdr:colOff>577850</xdr:colOff>
      <xdr:row>7</xdr:row>
      <xdr:rowOff>0</xdr:rowOff>
    </xdr:to>
    <xdr:sp macro="" textlink="'Data Set'!N3">
      <xdr:nvSpPr>
        <xdr:cNvPr id="9" name="Rectangle: Rounded Corners 8">
          <a:extLst>
            <a:ext uri="{FF2B5EF4-FFF2-40B4-BE49-F238E27FC236}">
              <a16:creationId xmlns:a16="http://schemas.microsoft.com/office/drawing/2014/main" id="{1F8A8A8C-74AE-3607-1728-0093074A32D1}"/>
            </a:ext>
          </a:extLst>
        </xdr:cNvPr>
        <xdr:cNvSpPr/>
      </xdr:nvSpPr>
      <xdr:spPr>
        <a:xfrm>
          <a:off x="2178050" y="660400"/>
          <a:ext cx="205740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DD74E84-1307-4605-93BF-4F421628FC8F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₦475,000.00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412750</xdr:colOff>
      <xdr:row>3</xdr:row>
      <xdr:rowOff>133350</xdr:rowOff>
    </xdr:from>
    <xdr:to>
      <xdr:col>6</xdr:col>
      <xdr:colOff>495300</xdr:colOff>
      <xdr:row>4</xdr:row>
      <xdr:rowOff>177800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7D645C7-1380-1EEE-6D8E-C5620F5A4CDE}"/>
            </a:ext>
          </a:extLst>
        </xdr:cNvPr>
        <xdr:cNvSpPr/>
      </xdr:nvSpPr>
      <xdr:spPr>
        <a:xfrm>
          <a:off x="2241550" y="685800"/>
          <a:ext cx="1911350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Sum of Yesterday Sales</a:t>
          </a:r>
        </a:p>
      </xdr:txBody>
    </xdr:sp>
    <xdr:clientData/>
  </xdr:twoCellAnchor>
  <xdr:twoCellAnchor>
    <xdr:from>
      <xdr:col>7</xdr:col>
      <xdr:colOff>57150</xdr:colOff>
      <xdr:row>3</xdr:row>
      <xdr:rowOff>107950</xdr:rowOff>
    </xdr:from>
    <xdr:to>
      <xdr:col>10</xdr:col>
      <xdr:colOff>285750</xdr:colOff>
      <xdr:row>7</xdr:row>
      <xdr:rowOff>0</xdr:rowOff>
    </xdr:to>
    <xdr:sp macro="" textlink="'Data Set'!N4">
      <xdr:nvSpPr>
        <xdr:cNvPr id="11" name="Rectangle: Rounded Corners 10">
          <a:extLst>
            <a:ext uri="{FF2B5EF4-FFF2-40B4-BE49-F238E27FC236}">
              <a16:creationId xmlns:a16="http://schemas.microsoft.com/office/drawing/2014/main" id="{C17B739D-031E-DC44-12BA-2E2384FFBE4F}"/>
            </a:ext>
          </a:extLst>
        </xdr:cNvPr>
        <xdr:cNvSpPr/>
      </xdr:nvSpPr>
      <xdr:spPr>
        <a:xfrm>
          <a:off x="4324350" y="660400"/>
          <a:ext cx="205740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F96E3BB-1A6D-4A47-8ABC-8B2994D5125E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₦9,743,000.00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95250</xdr:colOff>
      <xdr:row>3</xdr:row>
      <xdr:rowOff>95250</xdr:rowOff>
    </xdr:from>
    <xdr:to>
      <xdr:col>10</xdr:col>
      <xdr:colOff>177800</xdr:colOff>
      <xdr:row>4</xdr:row>
      <xdr:rowOff>139700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0FCD65F-7752-E04E-6862-891253644364}"/>
            </a:ext>
          </a:extLst>
        </xdr:cNvPr>
        <xdr:cNvSpPr/>
      </xdr:nvSpPr>
      <xdr:spPr>
        <a:xfrm>
          <a:off x="4362450" y="647700"/>
          <a:ext cx="1911350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 of Current Month Sales</a:t>
          </a:r>
          <a:r>
            <a:rPr lang="en-US" b="1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3</xdr:col>
      <xdr:colOff>349250</xdr:colOff>
      <xdr:row>7</xdr:row>
      <xdr:rowOff>120650</xdr:rowOff>
    </xdr:from>
    <xdr:to>
      <xdr:col>6</xdr:col>
      <xdr:colOff>577850</xdr:colOff>
      <xdr:row>11</xdr:row>
      <xdr:rowOff>12700</xdr:rowOff>
    </xdr:to>
    <xdr:sp macro="" textlink="'Data Set'!N5">
      <xdr:nvSpPr>
        <xdr:cNvPr id="14" name="Rectangle: Rounded Corners 13">
          <a:extLst>
            <a:ext uri="{FF2B5EF4-FFF2-40B4-BE49-F238E27FC236}">
              <a16:creationId xmlns:a16="http://schemas.microsoft.com/office/drawing/2014/main" id="{2023A77D-2D84-1ED8-ED62-4C47ECE6A44B}"/>
            </a:ext>
          </a:extLst>
        </xdr:cNvPr>
        <xdr:cNvSpPr/>
      </xdr:nvSpPr>
      <xdr:spPr>
        <a:xfrm>
          <a:off x="2178050" y="1409700"/>
          <a:ext cx="205740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6AB7B3E-63BA-48CC-A8BF-ED44B2776F3E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 algn="ctr"/>
            <a:t>0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444500</xdr:colOff>
      <xdr:row>7</xdr:row>
      <xdr:rowOff>88900</xdr:rowOff>
    </xdr:from>
    <xdr:to>
      <xdr:col>6</xdr:col>
      <xdr:colOff>527050</xdr:colOff>
      <xdr:row>8</xdr:row>
      <xdr:rowOff>133350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8F6D39C-C26D-6585-BB37-05FBED62E73A}"/>
            </a:ext>
          </a:extLst>
        </xdr:cNvPr>
        <xdr:cNvSpPr/>
      </xdr:nvSpPr>
      <xdr:spPr>
        <a:xfrm>
          <a:off x="2273300" y="1377950"/>
          <a:ext cx="1911350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Quantity</a:t>
          </a:r>
          <a:r>
            <a:rPr lang="en-US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Sold By Day</a:t>
          </a:r>
          <a:r>
            <a:rPr lang="en-US" b="1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0</xdr:col>
      <xdr:colOff>0</xdr:colOff>
      <xdr:row>7</xdr:row>
      <xdr:rowOff>120650</xdr:rowOff>
    </xdr:from>
    <xdr:to>
      <xdr:col>3</xdr:col>
      <xdr:colOff>228600</xdr:colOff>
      <xdr:row>11</xdr:row>
      <xdr:rowOff>12700</xdr:rowOff>
    </xdr:to>
    <xdr:sp macro="" textlink="'Data Set'!N6">
      <xdr:nvSpPr>
        <xdr:cNvPr id="16" name="Rectangle: Rounded Corners 15">
          <a:extLst>
            <a:ext uri="{FF2B5EF4-FFF2-40B4-BE49-F238E27FC236}">
              <a16:creationId xmlns:a16="http://schemas.microsoft.com/office/drawing/2014/main" id="{0D1D8322-924A-D34C-CDE3-83C327958108}"/>
            </a:ext>
          </a:extLst>
        </xdr:cNvPr>
        <xdr:cNvSpPr/>
      </xdr:nvSpPr>
      <xdr:spPr>
        <a:xfrm>
          <a:off x="0" y="1409700"/>
          <a:ext cx="205740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A9C721F-7E7B-4646-B87E-505B9C837AB5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71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7</xdr:row>
      <xdr:rowOff>101600</xdr:rowOff>
    </xdr:from>
    <xdr:to>
      <xdr:col>3</xdr:col>
      <xdr:colOff>241300</xdr:colOff>
      <xdr:row>8</xdr:row>
      <xdr:rowOff>146050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D31A114-8C0A-E625-8A7E-FAB773AC5436}"/>
            </a:ext>
          </a:extLst>
        </xdr:cNvPr>
        <xdr:cNvSpPr/>
      </xdr:nvSpPr>
      <xdr:spPr>
        <a:xfrm>
          <a:off x="0" y="1390650"/>
          <a:ext cx="2070100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Quantity</a:t>
          </a:r>
          <a:r>
            <a:rPr lang="en-US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Sold By Current Month</a:t>
          </a:r>
          <a:r>
            <a:rPr lang="en-US" b="1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10</xdr:col>
      <xdr:colOff>476250</xdr:colOff>
      <xdr:row>3</xdr:row>
      <xdr:rowOff>120650</xdr:rowOff>
    </xdr:from>
    <xdr:to>
      <xdr:col>14</xdr:col>
      <xdr:colOff>95250</xdr:colOff>
      <xdr:row>7</xdr:row>
      <xdr:rowOff>12700</xdr:rowOff>
    </xdr:to>
    <xdr:sp macro="" textlink="'Data Set'!N7">
      <xdr:nvSpPr>
        <xdr:cNvPr id="19" name="Rectangle: Rounded Corners 18">
          <a:extLst>
            <a:ext uri="{FF2B5EF4-FFF2-40B4-BE49-F238E27FC236}">
              <a16:creationId xmlns:a16="http://schemas.microsoft.com/office/drawing/2014/main" id="{87EC45B7-D9D8-E352-0E7D-7215086BD055}"/>
            </a:ext>
          </a:extLst>
        </xdr:cNvPr>
        <xdr:cNvSpPr/>
      </xdr:nvSpPr>
      <xdr:spPr>
        <a:xfrm>
          <a:off x="6572250" y="673100"/>
          <a:ext cx="205740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A3B8807-DC2B-4F85-BEBD-F8F9548B8B4C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₦10,560,000.00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476250</xdr:colOff>
      <xdr:row>3</xdr:row>
      <xdr:rowOff>152400</xdr:rowOff>
    </xdr:from>
    <xdr:to>
      <xdr:col>14</xdr:col>
      <xdr:colOff>107950</xdr:colOff>
      <xdr:row>5</xdr:row>
      <xdr:rowOff>12700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F7A577BE-1C29-B986-3C65-05459AACBE77}"/>
            </a:ext>
          </a:extLst>
        </xdr:cNvPr>
        <xdr:cNvSpPr/>
      </xdr:nvSpPr>
      <xdr:spPr>
        <a:xfrm>
          <a:off x="6572250" y="704850"/>
          <a:ext cx="2070100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Quantity</a:t>
          </a:r>
          <a:r>
            <a:rPr lang="en-US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Sold By Previous Month</a:t>
          </a:r>
          <a:r>
            <a:rPr lang="en-US" b="1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7</xdr:col>
      <xdr:colOff>38100</xdr:colOff>
      <xdr:row>7</xdr:row>
      <xdr:rowOff>127000</xdr:rowOff>
    </xdr:from>
    <xdr:to>
      <xdr:col>10</xdr:col>
      <xdr:colOff>266700</xdr:colOff>
      <xdr:row>11</xdr:row>
      <xdr:rowOff>19050</xdr:rowOff>
    </xdr:to>
    <xdr:sp macro="" textlink="'Data Set'!N9">
      <xdr:nvSpPr>
        <xdr:cNvPr id="21" name="Rectangle: Rounded Corners 20">
          <a:extLst>
            <a:ext uri="{FF2B5EF4-FFF2-40B4-BE49-F238E27FC236}">
              <a16:creationId xmlns:a16="http://schemas.microsoft.com/office/drawing/2014/main" id="{39A4BDFD-F320-27AA-2C1E-43C917C59E76}"/>
            </a:ext>
          </a:extLst>
        </xdr:cNvPr>
        <xdr:cNvSpPr/>
      </xdr:nvSpPr>
      <xdr:spPr>
        <a:xfrm>
          <a:off x="4305300" y="1416050"/>
          <a:ext cx="205740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5F43973-2D2C-47A0-94B3-C6C0EB0F661A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₦55,982,000.00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76200</xdr:colOff>
      <xdr:row>7</xdr:row>
      <xdr:rowOff>107950</xdr:rowOff>
    </xdr:from>
    <xdr:to>
      <xdr:col>10</xdr:col>
      <xdr:colOff>158750</xdr:colOff>
      <xdr:row>8</xdr:row>
      <xdr:rowOff>152400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D455AA28-6201-B43D-F597-28A9E016EA1E}"/>
            </a:ext>
          </a:extLst>
        </xdr:cNvPr>
        <xdr:cNvSpPr/>
      </xdr:nvSpPr>
      <xdr:spPr>
        <a:xfrm>
          <a:off x="4343400" y="1397000"/>
          <a:ext cx="1911350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 of Current year sales</a:t>
          </a:r>
          <a:r>
            <a:rPr lang="en-US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10</xdr:col>
      <xdr:colOff>457200</xdr:colOff>
      <xdr:row>7</xdr:row>
      <xdr:rowOff>133350</xdr:rowOff>
    </xdr:from>
    <xdr:to>
      <xdr:col>14</xdr:col>
      <xdr:colOff>76200</xdr:colOff>
      <xdr:row>11</xdr:row>
      <xdr:rowOff>25400</xdr:rowOff>
    </xdr:to>
    <xdr:sp macro="" textlink="'Data Set'!N10">
      <xdr:nvSpPr>
        <xdr:cNvPr id="23" name="Rectangle: Rounded Corners 22">
          <a:extLst>
            <a:ext uri="{FF2B5EF4-FFF2-40B4-BE49-F238E27FC236}">
              <a16:creationId xmlns:a16="http://schemas.microsoft.com/office/drawing/2014/main" id="{2741E4B5-C3BD-2370-EEED-30DF59D27324}"/>
            </a:ext>
          </a:extLst>
        </xdr:cNvPr>
        <xdr:cNvSpPr/>
      </xdr:nvSpPr>
      <xdr:spPr>
        <a:xfrm>
          <a:off x="6553200" y="1422400"/>
          <a:ext cx="205740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E1D9C80-7F01-47A7-90FB-CA9831A73627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₦94,059,000.00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488950</xdr:colOff>
      <xdr:row>7</xdr:row>
      <xdr:rowOff>120650</xdr:rowOff>
    </xdr:from>
    <xdr:to>
      <xdr:col>13</xdr:col>
      <xdr:colOff>571500</xdr:colOff>
      <xdr:row>8</xdr:row>
      <xdr:rowOff>165100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7CD9BF27-99E8-AF2F-D062-820DE40DE9F3}"/>
            </a:ext>
          </a:extLst>
        </xdr:cNvPr>
        <xdr:cNvSpPr/>
      </xdr:nvSpPr>
      <xdr:spPr>
        <a:xfrm>
          <a:off x="6584950" y="1409700"/>
          <a:ext cx="1911350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 of Previous Year sales</a:t>
          </a:r>
          <a:r>
            <a:rPr lang="en-US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14</xdr:col>
      <xdr:colOff>171450</xdr:colOff>
      <xdr:row>3</xdr:row>
      <xdr:rowOff>114300</xdr:rowOff>
    </xdr:from>
    <xdr:to>
      <xdr:col>17</xdr:col>
      <xdr:colOff>400050</xdr:colOff>
      <xdr:row>7</xdr:row>
      <xdr:rowOff>6350</xdr:rowOff>
    </xdr:to>
    <xdr:sp macro="" textlink="'Data Set'!N8">
      <xdr:nvSpPr>
        <xdr:cNvPr id="25" name="Rectangle: Rounded Corners 24">
          <a:extLst>
            <a:ext uri="{FF2B5EF4-FFF2-40B4-BE49-F238E27FC236}">
              <a16:creationId xmlns:a16="http://schemas.microsoft.com/office/drawing/2014/main" id="{0ED5D46D-5D10-5075-DA86-10815C550468}"/>
            </a:ext>
          </a:extLst>
        </xdr:cNvPr>
        <xdr:cNvSpPr/>
      </xdr:nvSpPr>
      <xdr:spPr>
        <a:xfrm>
          <a:off x="8705850" y="666750"/>
          <a:ext cx="205740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592B7BB-7DD2-4AE3-8CB6-E0A1AFD58DEB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 algn="ctr"/>
            <a:t>-8%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184150</xdr:colOff>
      <xdr:row>3</xdr:row>
      <xdr:rowOff>114300</xdr:rowOff>
    </xdr:from>
    <xdr:to>
      <xdr:col>17</xdr:col>
      <xdr:colOff>266700</xdr:colOff>
      <xdr:row>4</xdr:row>
      <xdr:rowOff>158750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F4BE0014-A93F-E5D3-547B-E9AE48D5F665}"/>
            </a:ext>
          </a:extLst>
        </xdr:cNvPr>
        <xdr:cNvSpPr/>
      </xdr:nvSpPr>
      <xdr:spPr>
        <a:xfrm>
          <a:off x="8718550" y="666750"/>
          <a:ext cx="1911350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Month on Month Sales</a:t>
          </a:r>
          <a:r>
            <a:rPr lang="en-US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14</xdr:col>
      <xdr:colOff>165100</xdr:colOff>
      <xdr:row>7</xdr:row>
      <xdr:rowOff>120650</xdr:rowOff>
    </xdr:from>
    <xdr:to>
      <xdr:col>17</xdr:col>
      <xdr:colOff>393700</xdr:colOff>
      <xdr:row>11</xdr:row>
      <xdr:rowOff>12700</xdr:rowOff>
    </xdr:to>
    <xdr:sp macro="" textlink="'Data Set'!N11">
      <xdr:nvSpPr>
        <xdr:cNvPr id="27" name="Rectangle: Rounded Corners 26">
          <a:extLst>
            <a:ext uri="{FF2B5EF4-FFF2-40B4-BE49-F238E27FC236}">
              <a16:creationId xmlns:a16="http://schemas.microsoft.com/office/drawing/2014/main" id="{334A7579-E28D-97D8-5C6C-02BBF5F64C41}"/>
            </a:ext>
          </a:extLst>
        </xdr:cNvPr>
        <xdr:cNvSpPr/>
      </xdr:nvSpPr>
      <xdr:spPr>
        <a:xfrm>
          <a:off x="8699500" y="1409700"/>
          <a:ext cx="2057400" cy="6286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7EF5C0D-2AFB-43FB-A5A3-F179CB3D7E0F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-40%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133350</xdr:colOff>
      <xdr:row>7</xdr:row>
      <xdr:rowOff>95250</xdr:rowOff>
    </xdr:from>
    <xdr:to>
      <xdr:col>17</xdr:col>
      <xdr:colOff>215900</xdr:colOff>
      <xdr:row>8</xdr:row>
      <xdr:rowOff>139700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C1F0AAF1-17E0-9EDB-ED54-9427B1B39806}"/>
            </a:ext>
          </a:extLst>
        </xdr:cNvPr>
        <xdr:cNvSpPr/>
      </xdr:nvSpPr>
      <xdr:spPr>
        <a:xfrm>
          <a:off x="8667750" y="1384300"/>
          <a:ext cx="1911350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Year on Year Sales </a:t>
          </a:r>
          <a:endParaRPr lang="en-US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C00D2-0A37-443D-9F3E-DD33CA1627B6}" name="Table1" displayName="Table1" ref="A1:E409" totalsRowShown="0">
  <autoFilter ref="A1:E409" xr:uid="{0F6C00D2-0A37-443D-9F3E-DD33CA1627B6}"/>
  <tableColumns count="5">
    <tableColumn id="1" xr3:uid="{502EB3DB-854B-4511-A598-F9C6AB2E1BF2}" name="Date" dataDxfId="2"/>
    <tableColumn id="2" xr3:uid="{D3E0EBF0-D236-4F54-A561-40FBFEC67831}" name="Sales($)"/>
    <tableColumn id="3" xr3:uid="{9A92E6A1-E25C-4762-81F9-8B59A6F192A9}" name="Forecast(Sales($))">
      <calculatedColumnFormula>_xlfn.FORECAST.ETS(A2,$B$2:$B$327,$A$2:$A$327,1,1)</calculatedColumnFormula>
    </tableColumn>
    <tableColumn id="4" xr3:uid="{1DEF6D2E-7372-4058-9F9E-0AA14BDA4373}" name="Lower Confidence Bound(Sales($))" dataDxfId="1">
      <calculatedColumnFormula>C2-_xlfn.FORECAST.ETS.CONFINT(A2,$B$2:$B$327,$A$2:$A$327,0.95,1,1)</calculatedColumnFormula>
    </tableColumn>
    <tableColumn id="5" xr3:uid="{47945F0E-2FAD-497C-A9F2-2DEA648F2387}" name="Upper Confidence Bound(Sales($))" dataDxfId="0">
      <calculatedColumnFormula>C2+_xlfn.FORECAST.ETS.CONFINT(A2,$B$2:$B$327,$A$2:$A$327,0.95,1,1)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685C-835A-4CE8-9DF5-F2CAAD01CF99}">
  <dimension ref="A1:S550"/>
  <sheetViews>
    <sheetView showGridLines="0" workbookViewId="0">
      <selection activeCell="H17" sqref="H17"/>
    </sheetView>
  </sheetViews>
  <sheetFormatPr defaultRowHeight="14.5" x14ac:dyDescent="0.35"/>
  <cols>
    <col min="1" max="1" width="10.36328125" bestFit="1" customWidth="1"/>
  </cols>
  <sheetData>
    <row r="1" spans="1:19" x14ac:dyDescent="0.35">
      <c r="A1" s="1" t="s">
        <v>0</v>
      </c>
      <c r="B1" s="1" t="s">
        <v>1</v>
      </c>
      <c r="C1" s="8" t="s">
        <v>697</v>
      </c>
      <c r="D1" s="8" t="s">
        <v>698</v>
      </c>
      <c r="F1" t="s">
        <v>2</v>
      </c>
    </row>
    <row r="2" spans="1:19" x14ac:dyDescent="0.35">
      <c r="A2" s="2">
        <v>45839</v>
      </c>
      <c r="B2">
        <v>960</v>
      </c>
      <c r="C2" t="str">
        <f xml:space="preserve"> "Qtr"&amp;ROUND(MONTH(A2)/3,0)</f>
        <v>Qtr2</v>
      </c>
      <c r="D2">
        <f>YEAR(A2)</f>
        <v>2025</v>
      </c>
      <c r="F2" s="3" t="s">
        <v>3</v>
      </c>
    </row>
    <row r="3" spans="1:19" x14ac:dyDescent="0.35">
      <c r="A3" s="2">
        <v>45840</v>
      </c>
      <c r="B3">
        <v>3872</v>
      </c>
      <c r="C3" t="str">
        <f t="shared" ref="C3:C66" si="0" xml:space="preserve"> "Qtr"&amp;ROUND(MONTH(A3)/3,0)</f>
        <v>Qtr2</v>
      </c>
      <c r="D3">
        <f t="shared" ref="D3:D66" si="1">YEAR(A3)</f>
        <v>2025</v>
      </c>
    </row>
    <row r="4" spans="1:19" x14ac:dyDescent="0.35">
      <c r="A4" s="2">
        <v>45841</v>
      </c>
      <c r="B4">
        <v>3192</v>
      </c>
      <c r="C4" t="str">
        <f t="shared" si="0"/>
        <v>Qtr2</v>
      </c>
      <c r="D4">
        <f t="shared" si="1"/>
        <v>2025</v>
      </c>
      <c r="F4" t="s">
        <v>4</v>
      </c>
    </row>
    <row r="5" spans="1:19" x14ac:dyDescent="0.35">
      <c r="A5" s="2">
        <v>45842</v>
      </c>
      <c r="B5">
        <v>566</v>
      </c>
      <c r="C5" t="str">
        <f t="shared" si="0"/>
        <v>Qtr2</v>
      </c>
      <c r="D5">
        <f t="shared" si="1"/>
        <v>2025</v>
      </c>
      <c r="F5" s="3" t="s">
        <v>5</v>
      </c>
      <c r="S5" s="5" t="s">
        <v>689</v>
      </c>
    </row>
    <row r="6" spans="1:19" x14ac:dyDescent="0.35">
      <c r="A6" s="2">
        <v>45843</v>
      </c>
      <c r="B6">
        <v>4526</v>
      </c>
      <c r="C6" t="str">
        <f t="shared" si="0"/>
        <v>Qtr2</v>
      </c>
      <c r="D6">
        <f t="shared" si="1"/>
        <v>2025</v>
      </c>
    </row>
    <row r="7" spans="1:19" ht="17.5" x14ac:dyDescent="0.35">
      <c r="A7" s="2">
        <v>45844</v>
      </c>
      <c r="B7">
        <v>3544</v>
      </c>
      <c r="C7" t="str">
        <f t="shared" si="0"/>
        <v>Qtr2</v>
      </c>
      <c r="D7">
        <f t="shared" si="1"/>
        <v>2025</v>
      </c>
      <c r="F7" t="s">
        <v>6</v>
      </c>
      <c r="S7" s="6" t="s">
        <v>690</v>
      </c>
    </row>
    <row r="8" spans="1:19" x14ac:dyDescent="0.35">
      <c r="A8" s="2">
        <v>45845</v>
      </c>
      <c r="B8">
        <v>3271</v>
      </c>
      <c r="C8" t="str">
        <f t="shared" si="0"/>
        <v>Qtr2</v>
      </c>
      <c r="D8">
        <f t="shared" si="1"/>
        <v>2025</v>
      </c>
      <c r="F8" s="3" t="s">
        <v>7</v>
      </c>
      <c r="S8" s="4"/>
    </row>
    <row r="9" spans="1:19" x14ac:dyDescent="0.35">
      <c r="A9" s="2">
        <v>45846</v>
      </c>
      <c r="B9">
        <v>3019</v>
      </c>
      <c r="C9" t="str">
        <f t="shared" si="0"/>
        <v>Qtr2</v>
      </c>
      <c r="D9">
        <f t="shared" si="1"/>
        <v>2025</v>
      </c>
      <c r="F9">
        <f ca="1">SUMIFS(B2:B550, A2:A550, "&gt;="&amp;EOMONTH(TODAY(),-1)+1, A2:A550, "&lt;="&amp;EOMONTH(TODAY(),0))</f>
        <v>85047</v>
      </c>
      <c r="S9" s="5" t="s">
        <v>691</v>
      </c>
    </row>
    <row r="10" spans="1:19" x14ac:dyDescent="0.35">
      <c r="A10" s="2">
        <v>45847</v>
      </c>
      <c r="B10">
        <v>230</v>
      </c>
      <c r="C10" t="str">
        <f t="shared" si="0"/>
        <v>Qtr2</v>
      </c>
      <c r="D10">
        <f t="shared" si="1"/>
        <v>2025</v>
      </c>
      <c r="F10" t="s">
        <v>8</v>
      </c>
      <c r="S10" s="4"/>
    </row>
    <row r="11" spans="1:19" x14ac:dyDescent="0.35">
      <c r="A11" s="2">
        <v>45848</v>
      </c>
      <c r="B11">
        <v>1785</v>
      </c>
      <c r="C11" t="str">
        <f t="shared" si="0"/>
        <v>Qtr2</v>
      </c>
      <c r="D11">
        <f t="shared" si="1"/>
        <v>2025</v>
      </c>
      <c r="F11" s="3" t="s">
        <v>9</v>
      </c>
      <c r="S11" s="5" t="s">
        <v>692</v>
      </c>
    </row>
    <row r="12" spans="1:19" x14ac:dyDescent="0.35">
      <c r="A12" s="2">
        <v>45849</v>
      </c>
      <c r="B12">
        <v>869</v>
      </c>
      <c r="C12" t="str">
        <f t="shared" si="0"/>
        <v>Qtr2</v>
      </c>
      <c r="D12">
        <f t="shared" si="1"/>
        <v>2025</v>
      </c>
      <c r="F12">
        <f ca="1">SUMIFS(B2:B550, A2:A550, "&gt;="&amp;EOMONTH(TODAY(),-2)+1, A2:A550, "&lt;="&amp;EOMONTH(TODAY(),-1))</f>
        <v>59739</v>
      </c>
      <c r="S12" s="4"/>
    </row>
    <row r="13" spans="1:19" x14ac:dyDescent="0.35">
      <c r="A13" s="2">
        <v>45850</v>
      </c>
      <c r="B13">
        <v>2491</v>
      </c>
      <c r="C13" t="str">
        <f t="shared" si="0"/>
        <v>Qtr2</v>
      </c>
      <c r="D13">
        <f t="shared" si="1"/>
        <v>2025</v>
      </c>
      <c r="F13" t="s">
        <v>10</v>
      </c>
      <c r="S13" s="5" t="s">
        <v>693</v>
      </c>
    </row>
    <row r="14" spans="1:19" x14ac:dyDescent="0.35">
      <c r="A14" s="2">
        <v>45851</v>
      </c>
      <c r="B14">
        <v>2533</v>
      </c>
      <c r="C14" t="str">
        <f t="shared" si="0"/>
        <v>Qtr2</v>
      </c>
      <c r="D14">
        <f t="shared" si="1"/>
        <v>2025</v>
      </c>
      <c r="F14" s="3" t="s">
        <v>11</v>
      </c>
      <c r="S14" s="4"/>
    </row>
    <row r="15" spans="1:19" x14ac:dyDescent="0.35">
      <c r="A15" s="2">
        <v>45852</v>
      </c>
      <c r="B15">
        <v>1284</v>
      </c>
      <c r="C15" t="str">
        <f t="shared" si="0"/>
        <v>Qtr2</v>
      </c>
      <c r="D15">
        <f t="shared" si="1"/>
        <v>2025</v>
      </c>
      <c r="F15">
        <f ca="1">SUMIFS(B2:B550,A2:A550, "&gt;="&amp;DATE(YEAR(TODAY()),1,1), A2:A550, "&lt;="&amp;DATE(YEAR(TODAY()),12,31))</f>
        <v>937652</v>
      </c>
      <c r="S15" s="5" t="s">
        <v>694</v>
      </c>
    </row>
    <row r="16" spans="1:19" x14ac:dyDescent="0.35">
      <c r="A16" s="2">
        <v>45853</v>
      </c>
      <c r="B16">
        <v>4655</v>
      </c>
      <c r="C16" t="str">
        <f t="shared" si="0"/>
        <v>Qtr2</v>
      </c>
      <c r="D16">
        <f t="shared" si="1"/>
        <v>2025</v>
      </c>
      <c r="F16" t="s">
        <v>12</v>
      </c>
    </row>
    <row r="17" spans="1:19" x14ac:dyDescent="0.35">
      <c r="A17" s="2">
        <v>45854</v>
      </c>
      <c r="B17">
        <v>3485</v>
      </c>
      <c r="C17" t="str">
        <f t="shared" si="0"/>
        <v>Qtr2</v>
      </c>
      <c r="D17">
        <f t="shared" si="1"/>
        <v>2025</v>
      </c>
      <c r="F17" s="3" t="s">
        <v>13</v>
      </c>
      <c r="S17" t="s">
        <v>695</v>
      </c>
    </row>
    <row r="18" spans="1:19" x14ac:dyDescent="0.35">
      <c r="A18" s="2">
        <v>45855</v>
      </c>
      <c r="B18">
        <v>4217</v>
      </c>
      <c r="C18" t="str">
        <f t="shared" si="0"/>
        <v>Qtr2</v>
      </c>
      <c r="D18">
        <f t="shared" si="1"/>
        <v>2025</v>
      </c>
      <c r="S18" s="4"/>
    </row>
    <row r="19" spans="1:19" x14ac:dyDescent="0.35">
      <c r="A19" s="2">
        <v>45856</v>
      </c>
      <c r="B19">
        <v>4943</v>
      </c>
      <c r="C19" t="str">
        <f t="shared" si="0"/>
        <v>Qtr2</v>
      </c>
      <c r="D19">
        <f t="shared" si="1"/>
        <v>2025</v>
      </c>
      <c r="F19" t="s">
        <v>14</v>
      </c>
      <c r="S19" s="7" t="s">
        <v>696</v>
      </c>
    </row>
    <row r="20" spans="1:19" x14ac:dyDescent="0.35">
      <c r="A20" s="2">
        <v>45857</v>
      </c>
      <c r="B20">
        <v>3004</v>
      </c>
      <c r="C20" t="str">
        <f t="shared" si="0"/>
        <v>Qtr2</v>
      </c>
      <c r="D20">
        <f t="shared" si="1"/>
        <v>2025</v>
      </c>
      <c r="F20" s="3" t="s">
        <v>15</v>
      </c>
    </row>
    <row r="21" spans="1:19" x14ac:dyDescent="0.35">
      <c r="A21" s="2">
        <v>45858</v>
      </c>
      <c r="B21">
        <v>574</v>
      </c>
      <c r="C21" t="str">
        <f t="shared" si="0"/>
        <v>Qtr2</v>
      </c>
      <c r="D21">
        <f t="shared" si="1"/>
        <v>2025</v>
      </c>
    </row>
    <row r="22" spans="1:19" x14ac:dyDescent="0.35">
      <c r="A22" s="2">
        <v>45859</v>
      </c>
      <c r="B22">
        <v>1182</v>
      </c>
      <c r="C22" t="str">
        <f t="shared" si="0"/>
        <v>Qtr2</v>
      </c>
      <c r="D22">
        <f t="shared" si="1"/>
        <v>2025</v>
      </c>
      <c r="F22" t="s">
        <v>16</v>
      </c>
    </row>
    <row r="23" spans="1:19" x14ac:dyDescent="0.35">
      <c r="A23" s="2">
        <v>45860</v>
      </c>
      <c r="B23">
        <v>2658</v>
      </c>
      <c r="C23" t="str">
        <f t="shared" si="0"/>
        <v>Qtr2</v>
      </c>
      <c r="D23">
        <f t="shared" si="1"/>
        <v>2025</v>
      </c>
      <c r="F23" s="3" t="s">
        <v>17</v>
      </c>
      <c r="K23" t="s">
        <v>18</v>
      </c>
      <c r="L23">
        <v>2025</v>
      </c>
      <c r="M23">
        <v>2026</v>
      </c>
    </row>
    <row r="24" spans="1:19" x14ac:dyDescent="0.35">
      <c r="A24" s="2">
        <v>45861</v>
      </c>
      <c r="B24">
        <v>2147</v>
      </c>
      <c r="C24" t="str">
        <f t="shared" si="0"/>
        <v>Qtr2</v>
      </c>
      <c r="D24">
        <f t="shared" si="1"/>
        <v>2025</v>
      </c>
      <c r="K24" t="s">
        <v>699</v>
      </c>
      <c r="L24">
        <f>SUMIFS($B$2:$B$550,$C$2:$C$550,K24,D2:D550,$L$23)</f>
        <v>0</v>
      </c>
      <c r="M24">
        <f>SUMIFS($B$2:$B$550,$C$2:$C$550,K24,$D$2:$D$550,$L$23)</f>
        <v>0</v>
      </c>
    </row>
    <row r="25" spans="1:19" x14ac:dyDescent="0.35">
      <c r="A25" s="2">
        <v>45862</v>
      </c>
      <c r="B25">
        <v>2847</v>
      </c>
      <c r="C25" t="str">
        <f t="shared" si="0"/>
        <v>Qtr2</v>
      </c>
      <c r="D25">
        <f t="shared" si="1"/>
        <v>2025</v>
      </c>
      <c r="K25" t="s">
        <v>700</v>
      </c>
      <c r="L25">
        <f t="shared" ref="L25:L27" si="2">SUMIFS($B$2:$B$550,$C$2:$C$550,K25,D3:D551,$L$23)</f>
        <v>77820</v>
      </c>
      <c r="M25">
        <f t="shared" ref="M25:M27" si="3">SUMIFS($B$2:$B$550,$C$2:$C$550,K25,$D$2:$D$550,$L$23)</f>
        <v>77820</v>
      </c>
    </row>
    <row r="26" spans="1:19" x14ac:dyDescent="0.35">
      <c r="A26" s="2">
        <v>45863</v>
      </c>
      <c r="B26">
        <v>1075</v>
      </c>
      <c r="C26" t="str">
        <f t="shared" si="0"/>
        <v>Qtr2</v>
      </c>
      <c r="D26">
        <f t="shared" si="1"/>
        <v>2025</v>
      </c>
      <c r="K26" t="s">
        <v>701</v>
      </c>
      <c r="L26">
        <f t="shared" si="2"/>
        <v>226117</v>
      </c>
      <c r="M26">
        <f t="shared" si="3"/>
        <v>226117</v>
      </c>
    </row>
    <row r="27" spans="1:19" x14ac:dyDescent="0.35">
      <c r="A27" s="2">
        <v>45864</v>
      </c>
      <c r="B27">
        <v>1906</v>
      </c>
      <c r="C27" t="str">
        <f t="shared" si="0"/>
        <v>Qtr2</v>
      </c>
      <c r="D27">
        <f t="shared" si="1"/>
        <v>2025</v>
      </c>
      <c r="K27" t="s">
        <v>702</v>
      </c>
      <c r="L27">
        <f t="shared" si="2"/>
        <v>165043</v>
      </c>
      <c r="M27">
        <f t="shared" si="3"/>
        <v>171052</v>
      </c>
    </row>
    <row r="28" spans="1:19" x14ac:dyDescent="0.35">
      <c r="A28" s="2">
        <v>45865</v>
      </c>
      <c r="B28">
        <v>289</v>
      </c>
      <c r="C28" t="str">
        <f t="shared" si="0"/>
        <v>Qtr2</v>
      </c>
      <c r="D28">
        <f t="shared" si="1"/>
        <v>2025</v>
      </c>
    </row>
    <row r="29" spans="1:19" x14ac:dyDescent="0.35">
      <c r="A29" s="2">
        <v>45866</v>
      </c>
      <c r="B29">
        <v>2834</v>
      </c>
      <c r="C29" t="str">
        <f t="shared" si="0"/>
        <v>Qtr2</v>
      </c>
      <c r="D29">
        <f t="shared" si="1"/>
        <v>2025</v>
      </c>
    </row>
    <row r="30" spans="1:19" x14ac:dyDescent="0.35">
      <c r="A30" s="2">
        <v>45867</v>
      </c>
      <c r="B30">
        <v>3105</v>
      </c>
      <c r="C30" t="str">
        <f t="shared" si="0"/>
        <v>Qtr2</v>
      </c>
      <c r="D30">
        <f t="shared" si="1"/>
        <v>2025</v>
      </c>
      <c r="G30" t="s">
        <v>679</v>
      </c>
      <c r="N30" s="9">
        <f ca="1">(F9-F12)/F12</f>
        <v>0.42364284638176064</v>
      </c>
    </row>
    <row r="31" spans="1:19" x14ac:dyDescent="0.35">
      <c r="A31" s="2">
        <v>45868</v>
      </c>
      <c r="B31">
        <v>4758</v>
      </c>
      <c r="C31" t="str">
        <f t="shared" si="0"/>
        <v>Qtr2</v>
      </c>
      <c r="D31">
        <f t="shared" si="1"/>
        <v>2025</v>
      </c>
    </row>
    <row r="32" spans="1:19" x14ac:dyDescent="0.35">
      <c r="A32" s="2">
        <v>45869</v>
      </c>
      <c r="B32">
        <v>1999</v>
      </c>
      <c r="C32" t="str">
        <f t="shared" si="0"/>
        <v>Qtr2</v>
      </c>
      <c r="D32">
        <f t="shared" si="1"/>
        <v>2025</v>
      </c>
      <c r="G32" t="s">
        <v>680</v>
      </c>
    </row>
    <row r="33" spans="1:4" x14ac:dyDescent="0.35">
      <c r="A33" s="2">
        <v>45870</v>
      </c>
      <c r="B33">
        <v>1367</v>
      </c>
      <c r="C33" t="str">
        <f t="shared" si="0"/>
        <v>Qtr3</v>
      </c>
      <c r="D33">
        <f t="shared" si="1"/>
        <v>2025</v>
      </c>
    </row>
    <row r="34" spans="1:4" x14ac:dyDescent="0.35">
      <c r="A34" s="2">
        <v>45871</v>
      </c>
      <c r="B34">
        <v>1628</v>
      </c>
      <c r="C34" t="str">
        <f t="shared" si="0"/>
        <v>Qtr3</v>
      </c>
      <c r="D34">
        <f t="shared" si="1"/>
        <v>2025</v>
      </c>
    </row>
    <row r="35" spans="1:4" x14ac:dyDescent="0.35">
      <c r="A35" s="2">
        <v>45872</v>
      </c>
      <c r="B35">
        <v>3302</v>
      </c>
      <c r="C35" t="str">
        <f t="shared" si="0"/>
        <v>Qtr3</v>
      </c>
      <c r="D35">
        <f t="shared" si="1"/>
        <v>2025</v>
      </c>
    </row>
    <row r="36" spans="1:4" x14ac:dyDescent="0.35">
      <c r="A36" s="2">
        <v>45873</v>
      </c>
      <c r="B36">
        <v>3656</v>
      </c>
      <c r="C36" t="str">
        <f t="shared" si="0"/>
        <v>Qtr3</v>
      </c>
      <c r="D36">
        <f t="shared" si="1"/>
        <v>2025</v>
      </c>
    </row>
    <row r="37" spans="1:4" x14ac:dyDescent="0.35">
      <c r="A37" s="2">
        <v>45874</v>
      </c>
      <c r="B37">
        <v>3990</v>
      </c>
      <c r="C37" t="str">
        <f t="shared" si="0"/>
        <v>Qtr3</v>
      </c>
      <c r="D37">
        <f t="shared" si="1"/>
        <v>2025</v>
      </c>
    </row>
    <row r="38" spans="1:4" x14ac:dyDescent="0.35">
      <c r="A38" s="2">
        <v>45875</v>
      </c>
      <c r="B38">
        <v>746</v>
      </c>
      <c r="C38" t="str">
        <f t="shared" si="0"/>
        <v>Qtr3</v>
      </c>
      <c r="D38">
        <f t="shared" si="1"/>
        <v>2025</v>
      </c>
    </row>
    <row r="39" spans="1:4" x14ac:dyDescent="0.35">
      <c r="A39" s="2">
        <v>45876</v>
      </c>
      <c r="B39">
        <v>2988</v>
      </c>
      <c r="C39" t="str">
        <f t="shared" si="0"/>
        <v>Qtr3</v>
      </c>
      <c r="D39">
        <f t="shared" si="1"/>
        <v>2025</v>
      </c>
    </row>
    <row r="40" spans="1:4" x14ac:dyDescent="0.35">
      <c r="A40" s="2">
        <v>45877</v>
      </c>
      <c r="B40">
        <v>2535</v>
      </c>
      <c r="C40" t="str">
        <f t="shared" si="0"/>
        <v>Qtr3</v>
      </c>
      <c r="D40">
        <f t="shared" si="1"/>
        <v>2025</v>
      </c>
    </row>
    <row r="41" spans="1:4" x14ac:dyDescent="0.35">
      <c r="A41" s="2">
        <v>45878</v>
      </c>
      <c r="B41">
        <v>700</v>
      </c>
      <c r="C41" t="str">
        <f t="shared" si="0"/>
        <v>Qtr3</v>
      </c>
      <c r="D41">
        <f t="shared" si="1"/>
        <v>2025</v>
      </c>
    </row>
    <row r="42" spans="1:4" x14ac:dyDescent="0.35">
      <c r="A42" s="2">
        <v>45879</v>
      </c>
      <c r="B42">
        <v>2463</v>
      </c>
      <c r="C42" t="str">
        <f t="shared" si="0"/>
        <v>Qtr3</v>
      </c>
      <c r="D42">
        <f t="shared" si="1"/>
        <v>2025</v>
      </c>
    </row>
    <row r="43" spans="1:4" x14ac:dyDescent="0.35">
      <c r="A43" s="2">
        <v>45880</v>
      </c>
      <c r="B43">
        <v>2161</v>
      </c>
      <c r="C43" t="str">
        <f t="shared" si="0"/>
        <v>Qtr3</v>
      </c>
      <c r="D43">
        <f t="shared" si="1"/>
        <v>2025</v>
      </c>
    </row>
    <row r="44" spans="1:4" x14ac:dyDescent="0.35">
      <c r="A44" s="2">
        <v>45881</v>
      </c>
      <c r="B44">
        <v>341</v>
      </c>
      <c r="C44" t="str">
        <f t="shared" si="0"/>
        <v>Qtr3</v>
      </c>
      <c r="D44">
        <f t="shared" si="1"/>
        <v>2025</v>
      </c>
    </row>
    <row r="45" spans="1:4" x14ac:dyDescent="0.35">
      <c r="A45" s="2">
        <v>45882</v>
      </c>
      <c r="B45">
        <v>2141</v>
      </c>
      <c r="C45" t="str">
        <f t="shared" si="0"/>
        <v>Qtr3</v>
      </c>
      <c r="D45">
        <f t="shared" si="1"/>
        <v>2025</v>
      </c>
    </row>
    <row r="46" spans="1:4" x14ac:dyDescent="0.35">
      <c r="A46" s="2">
        <v>45883</v>
      </c>
      <c r="B46">
        <v>2924</v>
      </c>
      <c r="C46" t="str">
        <f t="shared" si="0"/>
        <v>Qtr3</v>
      </c>
      <c r="D46">
        <f t="shared" si="1"/>
        <v>2025</v>
      </c>
    </row>
    <row r="47" spans="1:4" x14ac:dyDescent="0.35">
      <c r="A47" s="2">
        <v>45884</v>
      </c>
      <c r="B47">
        <v>2712</v>
      </c>
      <c r="C47" t="str">
        <f t="shared" si="0"/>
        <v>Qtr3</v>
      </c>
      <c r="D47">
        <f t="shared" si="1"/>
        <v>2025</v>
      </c>
    </row>
    <row r="48" spans="1:4" x14ac:dyDescent="0.35">
      <c r="A48" s="2">
        <v>45885</v>
      </c>
      <c r="B48">
        <v>1463</v>
      </c>
      <c r="C48" t="str">
        <f t="shared" si="0"/>
        <v>Qtr3</v>
      </c>
      <c r="D48">
        <f t="shared" si="1"/>
        <v>2025</v>
      </c>
    </row>
    <row r="49" spans="1:4" x14ac:dyDescent="0.35">
      <c r="A49" s="2">
        <v>45886</v>
      </c>
      <c r="B49">
        <v>1578</v>
      </c>
      <c r="C49" t="str">
        <f t="shared" si="0"/>
        <v>Qtr3</v>
      </c>
      <c r="D49">
        <f t="shared" si="1"/>
        <v>2025</v>
      </c>
    </row>
    <row r="50" spans="1:4" x14ac:dyDescent="0.35">
      <c r="A50" s="2">
        <v>45887</v>
      </c>
      <c r="B50">
        <v>2656</v>
      </c>
      <c r="C50" t="str">
        <f t="shared" si="0"/>
        <v>Qtr3</v>
      </c>
      <c r="D50">
        <f t="shared" si="1"/>
        <v>2025</v>
      </c>
    </row>
    <row r="51" spans="1:4" x14ac:dyDescent="0.35">
      <c r="A51" s="2">
        <v>45888</v>
      </c>
      <c r="B51">
        <v>875</v>
      </c>
      <c r="C51" t="str">
        <f t="shared" si="0"/>
        <v>Qtr3</v>
      </c>
      <c r="D51">
        <f t="shared" si="1"/>
        <v>2025</v>
      </c>
    </row>
    <row r="52" spans="1:4" x14ac:dyDescent="0.35">
      <c r="A52" s="2">
        <v>45889</v>
      </c>
      <c r="B52">
        <v>4114</v>
      </c>
      <c r="C52" t="str">
        <f t="shared" si="0"/>
        <v>Qtr3</v>
      </c>
      <c r="D52">
        <f t="shared" si="1"/>
        <v>2025</v>
      </c>
    </row>
    <row r="53" spans="1:4" x14ac:dyDescent="0.35">
      <c r="A53" s="2">
        <v>45890</v>
      </c>
      <c r="B53">
        <v>134</v>
      </c>
      <c r="C53" t="str">
        <f t="shared" si="0"/>
        <v>Qtr3</v>
      </c>
      <c r="D53">
        <f t="shared" si="1"/>
        <v>2025</v>
      </c>
    </row>
    <row r="54" spans="1:4" x14ac:dyDescent="0.35">
      <c r="A54" s="2">
        <v>45891</v>
      </c>
      <c r="B54">
        <v>3252</v>
      </c>
      <c r="C54" t="str">
        <f t="shared" si="0"/>
        <v>Qtr3</v>
      </c>
      <c r="D54">
        <f t="shared" si="1"/>
        <v>2025</v>
      </c>
    </row>
    <row r="55" spans="1:4" x14ac:dyDescent="0.35">
      <c r="A55" s="2">
        <v>45892</v>
      </c>
      <c r="B55">
        <v>2055</v>
      </c>
      <c r="C55" t="str">
        <f t="shared" si="0"/>
        <v>Qtr3</v>
      </c>
      <c r="D55">
        <f t="shared" si="1"/>
        <v>2025</v>
      </c>
    </row>
    <row r="56" spans="1:4" x14ac:dyDescent="0.35">
      <c r="A56" s="2">
        <v>45893</v>
      </c>
      <c r="B56">
        <v>1685</v>
      </c>
      <c r="C56" t="str">
        <f t="shared" si="0"/>
        <v>Qtr3</v>
      </c>
      <c r="D56">
        <f t="shared" si="1"/>
        <v>2025</v>
      </c>
    </row>
    <row r="57" spans="1:4" x14ac:dyDescent="0.35">
      <c r="A57" s="2">
        <v>45894</v>
      </c>
      <c r="B57">
        <v>4043</v>
      </c>
      <c r="C57" t="str">
        <f t="shared" si="0"/>
        <v>Qtr3</v>
      </c>
      <c r="D57">
        <f t="shared" si="1"/>
        <v>2025</v>
      </c>
    </row>
    <row r="58" spans="1:4" x14ac:dyDescent="0.35">
      <c r="A58" s="2">
        <v>45895</v>
      </c>
      <c r="B58">
        <v>3173</v>
      </c>
      <c r="C58" t="str">
        <f t="shared" si="0"/>
        <v>Qtr3</v>
      </c>
      <c r="D58">
        <f t="shared" si="1"/>
        <v>2025</v>
      </c>
    </row>
    <row r="59" spans="1:4" x14ac:dyDescent="0.35">
      <c r="A59" s="2">
        <v>45896</v>
      </c>
      <c r="B59">
        <v>1121</v>
      </c>
      <c r="C59" t="str">
        <f t="shared" si="0"/>
        <v>Qtr3</v>
      </c>
      <c r="D59">
        <f t="shared" si="1"/>
        <v>2025</v>
      </c>
    </row>
    <row r="60" spans="1:4" x14ac:dyDescent="0.35">
      <c r="A60" s="2">
        <v>45897</v>
      </c>
      <c r="B60">
        <v>3561</v>
      </c>
      <c r="C60" t="str">
        <f t="shared" si="0"/>
        <v>Qtr3</v>
      </c>
      <c r="D60">
        <f t="shared" si="1"/>
        <v>2025</v>
      </c>
    </row>
    <row r="61" spans="1:4" x14ac:dyDescent="0.35">
      <c r="A61" s="2">
        <v>45898</v>
      </c>
      <c r="B61">
        <v>2713</v>
      </c>
      <c r="C61" t="str">
        <f t="shared" si="0"/>
        <v>Qtr3</v>
      </c>
      <c r="D61">
        <f t="shared" si="1"/>
        <v>2025</v>
      </c>
    </row>
    <row r="62" spans="1:4" x14ac:dyDescent="0.35">
      <c r="A62" s="2">
        <v>45899</v>
      </c>
      <c r="B62">
        <v>3943</v>
      </c>
      <c r="C62" t="str">
        <f t="shared" si="0"/>
        <v>Qtr3</v>
      </c>
      <c r="D62">
        <f t="shared" si="1"/>
        <v>2025</v>
      </c>
    </row>
    <row r="63" spans="1:4" x14ac:dyDescent="0.35">
      <c r="A63" s="2">
        <v>45900</v>
      </c>
      <c r="B63">
        <v>1600</v>
      </c>
      <c r="C63" t="str">
        <f t="shared" si="0"/>
        <v>Qtr3</v>
      </c>
      <c r="D63">
        <f t="shared" si="1"/>
        <v>2025</v>
      </c>
    </row>
    <row r="64" spans="1:4" x14ac:dyDescent="0.35">
      <c r="A64" s="2">
        <v>45901</v>
      </c>
      <c r="B64">
        <v>4898</v>
      </c>
      <c r="C64" t="str">
        <f t="shared" si="0"/>
        <v>Qtr3</v>
      </c>
      <c r="D64">
        <f t="shared" si="1"/>
        <v>2025</v>
      </c>
    </row>
    <row r="65" spans="1:4" x14ac:dyDescent="0.35">
      <c r="A65" s="2">
        <v>45902</v>
      </c>
      <c r="B65">
        <v>261</v>
      </c>
      <c r="C65" t="str">
        <f t="shared" si="0"/>
        <v>Qtr3</v>
      </c>
      <c r="D65">
        <f t="shared" si="1"/>
        <v>2025</v>
      </c>
    </row>
    <row r="66" spans="1:4" x14ac:dyDescent="0.35">
      <c r="A66" s="2">
        <v>45903</v>
      </c>
      <c r="B66">
        <v>4397</v>
      </c>
      <c r="C66" t="str">
        <f t="shared" si="0"/>
        <v>Qtr3</v>
      </c>
      <c r="D66">
        <f t="shared" si="1"/>
        <v>2025</v>
      </c>
    </row>
    <row r="67" spans="1:4" x14ac:dyDescent="0.35">
      <c r="A67" s="2">
        <v>45904</v>
      </c>
      <c r="B67">
        <v>2081</v>
      </c>
      <c r="C67" t="str">
        <f t="shared" ref="C67:C130" si="4" xml:space="preserve"> "Qtr"&amp;ROUND(MONTH(A67)/3,0)</f>
        <v>Qtr3</v>
      </c>
      <c r="D67">
        <f t="shared" ref="D67:D130" si="5">YEAR(A67)</f>
        <v>2025</v>
      </c>
    </row>
    <row r="68" spans="1:4" x14ac:dyDescent="0.35">
      <c r="A68" s="2">
        <v>45905</v>
      </c>
      <c r="B68">
        <v>1095</v>
      </c>
      <c r="C68" t="str">
        <f t="shared" si="4"/>
        <v>Qtr3</v>
      </c>
      <c r="D68">
        <f t="shared" si="5"/>
        <v>2025</v>
      </c>
    </row>
    <row r="69" spans="1:4" x14ac:dyDescent="0.35">
      <c r="A69" s="2">
        <v>45906</v>
      </c>
      <c r="B69">
        <v>3442</v>
      </c>
      <c r="C69" t="str">
        <f t="shared" si="4"/>
        <v>Qtr3</v>
      </c>
      <c r="D69">
        <f t="shared" si="5"/>
        <v>2025</v>
      </c>
    </row>
    <row r="70" spans="1:4" x14ac:dyDescent="0.35">
      <c r="A70" s="2">
        <v>45907</v>
      </c>
      <c r="B70">
        <v>4651</v>
      </c>
      <c r="C70" t="str">
        <f t="shared" si="4"/>
        <v>Qtr3</v>
      </c>
      <c r="D70">
        <f t="shared" si="5"/>
        <v>2025</v>
      </c>
    </row>
    <row r="71" spans="1:4" x14ac:dyDescent="0.35">
      <c r="A71" s="2">
        <v>45908</v>
      </c>
      <c r="B71">
        <v>3898</v>
      </c>
      <c r="C71" t="str">
        <f t="shared" si="4"/>
        <v>Qtr3</v>
      </c>
      <c r="D71">
        <f t="shared" si="5"/>
        <v>2025</v>
      </c>
    </row>
    <row r="72" spans="1:4" x14ac:dyDescent="0.35">
      <c r="A72" s="2">
        <v>45909</v>
      </c>
      <c r="B72">
        <v>1375</v>
      </c>
      <c r="C72" t="str">
        <f t="shared" si="4"/>
        <v>Qtr3</v>
      </c>
      <c r="D72">
        <f t="shared" si="5"/>
        <v>2025</v>
      </c>
    </row>
    <row r="73" spans="1:4" x14ac:dyDescent="0.35">
      <c r="A73" s="2">
        <v>45910</v>
      </c>
      <c r="B73">
        <v>1116</v>
      </c>
      <c r="C73" t="str">
        <f t="shared" si="4"/>
        <v>Qtr3</v>
      </c>
      <c r="D73">
        <f t="shared" si="5"/>
        <v>2025</v>
      </c>
    </row>
    <row r="74" spans="1:4" x14ac:dyDescent="0.35">
      <c r="A74" s="2">
        <v>45911</v>
      </c>
      <c r="B74">
        <v>437</v>
      </c>
      <c r="C74" t="str">
        <f t="shared" si="4"/>
        <v>Qtr3</v>
      </c>
      <c r="D74">
        <f t="shared" si="5"/>
        <v>2025</v>
      </c>
    </row>
    <row r="75" spans="1:4" x14ac:dyDescent="0.35">
      <c r="A75" s="2">
        <v>45912</v>
      </c>
      <c r="B75">
        <v>978</v>
      </c>
      <c r="C75" t="str">
        <f t="shared" si="4"/>
        <v>Qtr3</v>
      </c>
      <c r="D75">
        <f t="shared" si="5"/>
        <v>2025</v>
      </c>
    </row>
    <row r="76" spans="1:4" x14ac:dyDescent="0.35">
      <c r="A76" s="2">
        <v>45913</v>
      </c>
      <c r="B76">
        <v>1176</v>
      </c>
      <c r="C76" t="str">
        <f t="shared" si="4"/>
        <v>Qtr3</v>
      </c>
      <c r="D76">
        <f t="shared" si="5"/>
        <v>2025</v>
      </c>
    </row>
    <row r="77" spans="1:4" x14ac:dyDescent="0.35">
      <c r="A77" s="2">
        <v>45914</v>
      </c>
      <c r="B77">
        <v>4987</v>
      </c>
      <c r="C77" t="str">
        <f t="shared" si="4"/>
        <v>Qtr3</v>
      </c>
      <c r="D77">
        <f t="shared" si="5"/>
        <v>2025</v>
      </c>
    </row>
    <row r="78" spans="1:4" x14ac:dyDescent="0.35">
      <c r="A78" s="2">
        <v>45915</v>
      </c>
      <c r="B78">
        <v>4093</v>
      </c>
      <c r="C78" t="str">
        <f t="shared" si="4"/>
        <v>Qtr3</v>
      </c>
      <c r="D78">
        <f t="shared" si="5"/>
        <v>2025</v>
      </c>
    </row>
    <row r="79" spans="1:4" x14ac:dyDescent="0.35">
      <c r="A79" s="2">
        <v>45916</v>
      </c>
      <c r="B79">
        <v>4959</v>
      </c>
      <c r="C79" t="str">
        <f t="shared" si="4"/>
        <v>Qtr3</v>
      </c>
      <c r="D79">
        <f t="shared" si="5"/>
        <v>2025</v>
      </c>
    </row>
    <row r="80" spans="1:4" x14ac:dyDescent="0.35">
      <c r="A80" s="2">
        <v>45917</v>
      </c>
      <c r="B80">
        <v>479</v>
      </c>
      <c r="C80" t="str">
        <f t="shared" si="4"/>
        <v>Qtr3</v>
      </c>
      <c r="D80">
        <f t="shared" si="5"/>
        <v>2025</v>
      </c>
    </row>
    <row r="81" spans="1:4" x14ac:dyDescent="0.35">
      <c r="A81" s="2">
        <v>45918</v>
      </c>
      <c r="B81">
        <v>592</v>
      </c>
      <c r="C81" t="str">
        <f t="shared" si="4"/>
        <v>Qtr3</v>
      </c>
      <c r="D81">
        <f t="shared" si="5"/>
        <v>2025</v>
      </c>
    </row>
    <row r="82" spans="1:4" x14ac:dyDescent="0.35">
      <c r="A82" s="2">
        <v>45919</v>
      </c>
      <c r="B82">
        <v>2162</v>
      </c>
      <c r="C82" t="str">
        <f t="shared" si="4"/>
        <v>Qtr3</v>
      </c>
      <c r="D82">
        <f t="shared" si="5"/>
        <v>2025</v>
      </c>
    </row>
    <row r="83" spans="1:4" x14ac:dyDescent="0.35">
      <c r="A83" s="2">
        <v>45920</v>
      </c>
      <c r="B83">
        <v>3984</v>
      </c>
      <c r="C83" t="str">
        <f t="shared" si="4"/>
        <v>Qtr3</v>
      </c>
      <c r="D83">
        <f t="shared" si="5"/>
        <v>2025</v>
      </c>
    </row>
    <row r="84" spans="1:4" x14ac:dyDescent="0.35">
      <c r="A84" s="2">
        <v>45921</v>
      </c>
      <c r="B84">
        <v>164</v>
      </c>
      <c r="C84" t="str">
        <f t="shared" si="4"/>
        <v>Qtr3</v>
      </c>
      <c r="D84">
        <f t="shared" si="5"/>
        <v>2025</v>
      </c>
    </row>
    <row r="85" spans="1:4" x14ac:dyDescent="0.35">
      <c r="A85" s="2">
        <v>45922</v>
      </c>
      <c r="B85">
        <v>2668</v>
      </c>
      <c r="C85" t="str">
        <f t="shared" si="4"/>
        <v>Qtr3</v>
      </c>
      <c r="D85">
        <f t="shared" si="5"/>
        <v>2025</v>
      </c>
    </row>
    <row r="86" spans="1:4" x14ac:dyDescent="0.35">
      <c r="A86" s="2">
        <v>45923</v>
      </c>
      <c r="B86">
        <v>2127</v>
      </c>
      <c r="C86" t="str">
        <f t="shared" si="4"/>
        <v>Qtr3</v>
      </c>
      <c r="D86">
        <f t="shared" si="5"/>
        <v>2025</v>
      </c>
    </row>
    <row r="87" spans="1:4" x14ac:dyDescent="0.35">
      <c r="A87" s="2">
        <v>45924</v>
      </c>
      <c r="B87">
        <v>2795</v>
      </c>
      <c r="C87" t="str">
        <f t="shared" si="4"/>
        <v>Qtr3</v>
      </c>
      <c r="D87">
        <f t="shared" si="5"/>
        <v>2025</v>
      </c>
    </row>
    <row r="88" spans="1:4" x14ac:dyDescent="0.35">
      <c r="A88" s="2">
        <v>45925</v>
      </c>
      <c r="B88">
        <v>1595</v>
      </c>
      <c r="C88" t="str">
        <f t="shared" si="4"/>
        <v>Qtr3</v>
      </c>
      <c r="D88">
        <f t="shared" si="5"/>
        <v>2025</v>
      </c>
    </row>
    <row r="89" spans="1:4" x14ac:dyDescent="0.35">
      <c r="A89" s="2">
        <v>45926</v>
      </c>
      <c r="B89">
        <v>491</v>
      </c>
      <c r="C89" t="str">
        <f t="shared" si="4"/>
        <v>Qtr3</v>
      </c>
      <c r="D89">
        <f t="shared" si="5"/>
        <v>2025</v>
      </c>
    </row>
    <row r="90" spans="1:4" x14ac:dyDescent="0.35">
      <c r="A90" s="2">
        <v>45927</v>
      </c>
      <c r="B90">
        <v>4614</v>
      </c>
      <c r="C90" t="str">
        <f t="shared" si="4"/>
        <v>Qtr3</v>
      </c>
      <c r="D90">
        <f t="shared" si="5"/>
        <v>2025</v>
      </c>
    </row>
    <row r="91" spans="1:4" x14ac:dyDescent="0.35">
      <c r="A91" s="2">
        <v>45928</v>
      </c>
      <c r="B91">
        <v>4574</v>
      </c>
      <c r="C91" t="str">
        <f t="shared" si="4"/>
        <v>Qtr3</v>
      </c>
      <c r="D91">
        <f t="shared" si="5"/>
        <v>2025</v>
      </c>
    </row>
    <row r="92" spans="1:4" x14ac:dyDescent="0.35">
      <c r="A92" s="2">
        <v>45929</v>
      </c>
      <c r="B92">
        <v>3661</v>
      </c>
      <c r="C92" t="str">
        <f t="shared" si="4"/>
        <v>Qtr3</v>
      </c>
      <c r="D92">
        <f t="shared" si="5"/>
        <v>2025</v>
      </c>
    </row>
    <row r="93" spans="1:4" x14ac:dyDescent="0.35">
      <c r="A93" s="2">
        <v>45930</v>
      </c>
      <c r="B93">
        <v>2378</v>
      </c>
      <c r="C93" t="str">
        <f t="shared" si="4"/>
        <v>Qtr3</v>
      </c>
      <c r="D93">
        <f t="shared" si="5"/>
        <v>2025</v>
      </c>
    </row>
    <row r="94" spans="1:4" x14ac:dyDescent="0.35">
      <c r="A94" s="2">
        <v>45931</v>
      </c>
      <c r="B94">
        <v>3199</v>
      </c>
      <c r="C94" t="str">
        <f t="shared" si="4"/>
        <v>Qtr3</v>
      </c>
      <c r="D94">
        <f t="shared" si="5"/>
        <v>2025</v>
      </c>
    </row>
    <row r="95" spans="1:4" x14ac:dyDescent="0.35">
      <c r="A95" s="2">
        <v>45932</v>
      </c>
      <c r="B95">
        <v>300</v>
      </c>
      <c r="C95" t="str">
        <f t="shared" si="4"/>
        <v>Qtr3</v>
      </c>
      <c r="D95">
        <f t="shared" si="5"/>
        <v>2025</v>
      </c>
    </row>
    <row r="96" spans="1:4" x14ac:dyDescent="0.35">
      <c r="A96" s="2">
        <v>45933</v>
      </c>
      <c r="B96">
        <v>4975</v>
      </c>
      <c r="C96" t="str">
        <f t="shared" si="4"/>
        <v>Qtr3</v>
      </c>
      <c r="D96">
        <f t="shared" si="5"/>
        <v>2025</v>
      </c>
    </row>
    <row r="97" spans="1:4" x14ac:dyDescent="0.35">
      <c r="A97" s="2">
        <v>45934</v>
      </c>
      <c r="B97">
        <v>3204</v>
      </c>
      <c r="C97" t="str">
        <f t="shared" si="4"/>
        <v>Qtr3</v>
      </c>
      <c r="D97">
        <f t="shared" si="5"/>
        <v>2025</v>
      </c>
    </row>
    <row r="98" spans="1:4" x14ac:dyDescent="0.35">
      <c r="A98" s="2">
        <v>45935</v>
      </c>
      <c r="B98">
        <v>4698</v>
      </c>
      <c r="C98" t="str">
        <f t="shared" si="4"/>
        <v>Qtr3</v>
      </c>
      <c r="D98">
        <f t="shared" si="5"/>
        <v>2025</v>
      </c>
    </row>
    <row r="99" spans="1:4" x14ac:dyDescent="0.35">
      <c r="A99" s="2">
        <v>45936</v>
      </c>
      <c r="B99">
        <v>2554</v>
      </c>
      <c r="C99" t="str">
        <f t="shared" si="4"/>
        <v>Qtr3</v>
      </c>
      <c r="D99">
        <f t="shared" si="5"/>
        <v>2025</v>
      </c>
    </row>
    <row r="100" spans="1:4" x14ac:dyDescent="0.35">
      <c r="A100" s="2">
        <v>45937</v>
      </c>
      <c r="B100">
        <v>3745</v>
      </c>
      <c r="C100" t="str">
        <f t="shared" si="4"/>
        <v>Qtr3</v>
      </c>
      <c r="D100">
        <f t="shared" si="5"/>
        <v>2025</v>
      </c>
    </row>
    <row r="101" spans="1:4" x14ac:dyDescent="0.35">
      <c r="A101" s="2">
        <v>45938</v>
      </c>
      <c r="B101">
        <v>904</v>
      </c>
      <c r="C101" t="str">
        <f t="shared" si="4"/>
        <v>Qtr3</v>
      </c>
      <c r="D101">
        <f t="shared" si="5"/>
        <v>2025</v>
      </c>
    </row>
    <row r="102" spans="1:4" x14ac:dyDescent="0.35">
      <c r="A102" s="2">
        <v>45939</v>
      </c>
      <c r="B102">
        <v>2831</v>
      </c>
      <c r="C102" t="str">
        <f t="shared" si="4"/>
        <v>Qtr3</v>
      </c>
      <c r="D102">
        <f t="shared" si="5"/>
        <v>2025</v>
      </c>
    </row>
    <row r="103" spans="1:4" x14ac:dyDescent="0.35">
      <c r="A103" s="2">
        <v>45940</v>
      </c>
      <c r="B103">
        <v>2873</v>
      </c>
      <c r="C103" t="str">
        <f t="shared" si="4"/>
        <v>Qtr3</v>
      </c>
      <c r="D103">
        <f t="shared" si="5"/>
        <v>2025</v>
      </c>
    </row>
    <row r="104" spans="1:4" x14ac:dyDescent="0.35">
      <c r="A104" s="2">
        <v>45941</v>
      </c>
      <c r="B104">
        <v>1670</v>
      </c>
      <c r="C104" t="str">
        <f t="shared" si="4"/>
        <v>Qtr3</v>
      </c>
      <c r="D104">
        <f t="shared" si="5"/>
        <v>2025</v>
      </c>
    </row>
    <row r="105" spans="1:4" x14ac:dyDescent="0.35">
      <c r="A105" s="2">
        <v>45942</v>
      </c>
      <c r="B105">
        <v>2790</v>
      </c>
      <c r="C105" t="str">
        <f t="shared" si="4"/>
        <v>Qtr3</v>
      </c>
      <c r="D105">
        <f t="shared" si="5"/>
        <v>2025</v>
      </c>
    </row>
    <row r="106" spans="1:4" x14ac:dyDescent="0.35">
      <c r="A106" s="2">
        <v>45943</v>
      </c>
      <c r="B106">
        <v>3940</v>
      </c>
      <c r="C106" t="str">
        <f t="shared" si="4"/>
        <v>Qtr3</v>
      </c>
      <c r="D106">
        <f t="shared" si="5"/>
        <v>2025</v>
      </c>
    </row>
    <row r="107" spans="1:4" x14ac:dyDescent="0.35">
      <c r="A107" s="2">
        <v>45944</v>
      </c>
      <c r="B107">
        <v>1128</v>
      </c>
      <c r="C107" t="str">
        <f t="shared" si="4"/>
        <v>Qtr3</v>
      </c>
      <c r="D107">
        <f t="shared" si="5"/>
        <v>2025</v>
      </c>
    </row>
    <row r="108" spans="1:4" x14ac:dyDescent="0.35">
      <c r="A108" s="2">
        <v>45945</v>
      </c>
      <c r="B108">
        <v>602</v>
      </c>
      <c r="C108" t="str">
        <f t="shared" si="4"/>
        <v>Qtr3</v>
      </c>
      <c r="D108">
        <f t="shared" si="5"/>
        <v>2025</v>
      </c>
    </row>
    <row r="109" spans="1:4" x14ac:dyDescent="0.35">
      <c r="A109" s="2">
        <v>45946</v>
      </c>
      <c r="B109">
        <v>4593</v>
      </c>
      <c r="C109" t="str">
        <f t="shared" si="4"/>
        <v>Qtr3</v>
      </c>
      <c r="D109">
        <f t="shared" si="5"/>
        <v>2025</v>
      </c>
    </row>
    <row r="110" spans="1:4" x14ac:dyDescent="0.35">
      <c r="A110" s="2">
        <v>45947</v>
      </c>
      <c r="B110">
        <v>970</v>
      </c>
      <c r="C110" t="str">
        <f t="shared" si="4"/>
        <v>Qtr3</v>
      </c>
      <c r="D110">
        <f t="shared" si="5"/>
        <v>2025</v>
      </c>
    </row>
    <row r="111" spans="1:4" x14ac:dyDescent="0.35">
      <c r="A111" s="2">
        <v>45948</v>
      </c>
      <c r="B111">
        <v>4588</v>
      </c>
      <c r="C111" t="str">
        <f t="shared" si="4"/>
        <v>Qtr3</v>
      </c>
      <c r="D111">
        <f t="shared" si="5"/>
        <v>2025</v>
      </c>
    </row>
    <row r="112" spans="1:4" x14ac:dyDescent="0.35">
      <c r="A112" s="2">
        <v>45949</v>
      </c>
      <c r="B112">
        <v>306</v>
      </c>
      <c r="C112" t="str">
        <f t="shared" si="4"/>
        <v>Qtr3</v>
      </c>
      <c r="D112">
        <f t="shared" si="5"/>
        <v>2025</v>
      </c>
    </row>
    <row r="113" spans="1:4" x14ac:dyDescent="0.35">
      <c r="A113" s="2">
        <v>45950</v>
      </c>
      <c r="B113">
        <v>1584</v>
      </c>
      <c r="C113" t="str">
        <f t="shared" si="4"/>
        <v>Qtr3</v>
      </c>
      <c r="D113">
        <f t="shared" si="5"/>
        <v>2025</v>
      </c>
    </row>
    <row r="114" spans="1:4" x14ac:dyDescent="0.35">
      <c r="A114" s="2">
        <v>45951</v>
      </c>
      <c r="B114">
        <v>963</v>
      </c>
      <c r="C114" t="str">
        <f t="shared" si="4"/>
        <v>Qtr3</v>
      </c>
      <c r="D114">
        <f t="shared" si="5"/>
        <v>2025</v>
      </c>
    </row>
    <row r="115" spans="1:4" x14ac:dyDescent="0.35">
      <c r="A115" s="2">
        <v>45952</v>
      </c>
      <c r="B115">
        <v>2890</v>
      </c>
      <c r="C115" t="str">
        <f t="shared" si="4"/>
        <v>Qtr3</v>
      </c>
      <c r="D115">
        <f t="shared" si="5"/>
        <v>2025</v>
      </c>
    </row>
    <row r="116" spans="1:4" x14ac:dyDescent="0.35">
      <c r="A116" s="2">
        <v>45953</v>
      </c>
      <c r="B116">
        <v>663</v>
      </c>
      <c r="C116" t="str">
        <f t="shared" si="4"/>
        <v>Qtr3</v>
      </c>
      <c r="D116">
        <f t="shared" si="5"/>
        <v>2025</v>
      </c>
    </row>
    <row r="117" spans="1:4" x14ac:dyDescent="0.35">
      <c r="A117" s="2">
        <v>45954</v>
      </c>
      <c r="B117">
        <v>4291</v>
      </c>
      <c r="C117" t="str">
        <f t="shared" si="4"/>
        <v>Qtr3</v>
      </c>
      <c r="D117">
        <f t="shared" si="5"/>
        <v>2025</v>
      </c>
    </row>
    <row r="118" spans="1:4" x14ac:dyDescent="0.35">
      <c r="A118" s="2">
        <v>45955</v>
      </c>
      <c r="B118">
        <v>1857</v>
      </c>
      <c r="C118" t="str">
        <f t="shared" si="4"/>
        <v>Qtr3</v>
      </c>
      <c r="D118">
        <f t="shared" si="5"/>
        <v>2025</v>
      </c>
    </row>
    <row r="119" spans="1:4" x14ac:dyDescent="0.35">
      <c r="A119" s="2">
        <v>45956</v>
      </c>
      <c r="B119">
        <v>1778</v>
      </c>
      <c r="C119" t="str">
        <f t="shared" si="4"/>
        <v>Qtr3</v>
      </c>
      <c r="D119">
        <f t="shared" si="5"/>
        <v>2025</v>
      </c>
    </row>
    <row r="120" spans="1:4" x14ac:dyDescent="0.35">
      <c r="A120" s="2">
        <v>45957</v>
      </c>
      <c r="B120">
        <v>3342</v>
      </c>
      <c r="C120" t="str">
        <f t="shared" si="4"/>
        <v>Qtr3</v>
      </c>
      <c r="D120">
        <f t="shared" si="5"/>
        <v>2025</v>
      </c>
    </row>
    <row r="121" spans="1:4" x14ac:dyDescent="0.35">
      <c r="A121" s="2">
        <v>45958</v>
      </c>
      <c r="B121">
        <v>4736</v>
      </c>
      <c r="C121" t="str">
        <f t="shared" si="4"/>
        <v>Qtr3</v>
      </c>
      <c r="D121">
        <f t="shared" si="5"/>
        <v>2025</v>
      </c>
    </row>
    <row r="122" spans="1:4" x14ac:dyDescent="0.35">
      <c r="A122" s="2">
        <v>45959</v>
      </c>
      <c r="B122">
        <v>1159</v>
      </c>
      <c r="C122" t="str">
        <f t="shared" si="4"/>
        <v>Qtr3</v>
      </c>
      <c r="D122">
        <f t="shared" si="5"/>
        <v>2025</v>
      </c>
    </row>
    <row r="123" spans="1:4" x14ac:dyDescent="0.35">
      <c r="A123" s="2">
        <v>45960</v>
      </c>
      <c r="B123">
        <v>1822</v>
      </c>
      <c r="C123" t="str">
        <f t="shared" si="4"/>
        <v>Qtr3</v>
      </c>
      <c r="D123">
        <f t="shared" si="5"/>
        <v>2025</v>
      </c>
    </row>
    <row r="124" spans="1:4" x14ac:dyDescent="0.35">
      <c r="A124" s="2">
        <v>45961</v>
      </c>
      <c r="B124">
        <v>3414</v>
      </c>
      <c r="C124" t="str">
        <f t="shared" si="4"/>
        <v>Qtr3</v>
      </c>
      <c r="D124">
        <f t="shared" si="5"/>
        <v>2025</v>
      </c>
    </row>
    <row r="125" spans="1:4" x14ac:dyDescent="0.35">
      <c r="A125" s="2">
        <v>45962</v>
      </c>
      <c r="B125">
        <v>3257</v>
      </c>
      <c r="C125" t="str">
        <f t="shared" si="4"/>
        <v>Qtr4</v>
      </c>
      <c r="D125">
        <f t="shared" si="5"/>
        <v>2025</v>
      </c>
    </row>
    <row r="126" spans="1:4" x14ac:dyDescent="0.35">
      <c r="A126" s="2">
        <v>45963</v>
      </c>
      <c r="B126">
        <v>2725</v>
      </c>
      <c r="C126" t="str">
        <f t="shared" si="4"/>
        <v>Qtr4</v>
      </c>
      <c r="D126">
        <f t="shared" si="5"/>
        <v>2025</v>
      </c>
    </row>
    <row r="127" spans="1:4" x14ac:dyDescent="0.35">
      <c r="A127" s="2">
        <v>45964</v>
      </c>
      <c r="B127">
        <v>2829</v>
      </c>
      <c r="C127" t="str">
        <f t="shared" si="4"/>
        <v>Qtr4</v>
      </c>
      <c r="D127">
        <f t="shared" si="5"/>
        <v>2025</v>
      </c>
    </row>
    <row r="128" spans="1:4" x14ac:dyDescent="0.35">
      <c r="A128" s="2">
        <v>45965</v>
      </c>
      <c r="B128">
        <v>1697</v>
      </c>
      <c r="C128" t="str">
        <f t="shared" si="4"/>
        <v>Qtr4</v>
      </c>
      <c r="D128">
        <f t="shared" si="5"/>
        <v>2025</v>
      </c>
    </row>
    <row r="129" spans="1:4" x14ac:dyDescent="0.35">
      <c r="A129" s="2">
        <v>45966</v>
      </c>
      <c r="B129">
        <v>3160</v>
      </c>
      <c r="C129" t="str">
        <f t="shared" si="4"/>
        <v>Qtr4</v>
      </c>
      <c r="D129">
        <f t="shared" si="5"/>
        <v>2025</v>
      </c>
    </row>
    <row r="130" spans="1:4" x14ac:dyDescent="0.35">
      <c r="A130" s="2">
        <v>45967</v>
      </c>
      <c r="B130">
        <v>2793</v>
      </c>
      <c r="C130" t="str">
        <f t="shared" si="4"/>
        <v>Qtr4</v>
      </c>
      <c r="D130">
        <f t="shared" si="5"/>
        <v>2025</v>
      </c>
    </row>
    <row r="131" spans="1:4" x14ac:dyDescent="0.35">
      <c r="A131" s="2">
        <v>45968</v>
      </c>
      <c r="B131">
        <v>4991</v>
      </c>
      <c r="C131" t="str">
        <f t="shared" ref="C131:C194" si="6" xml:space="preserve"> "Qtr"&amp;ROUND(MONTH(A131)/3,0)</f>
        <v>Qtr4</v>
      </c>
      <c r="D131">
        <f t="shared" ref="D131:D194" si="7">YEAR(A131)</f>
        <v>2025</v>
      </c>
    </row>
    <row r="132" spans="1:4" x14ac:dyDescent="0.35">
      <c r="A132" s="2">
        <v>45969</v>
      </c>
      <c r="B132">
        <v>3727</v>
      </c>
      <c r="C132" t="str">
        <f t="shared" si="6"/>
        <v>Qtr4</v>
      </c>
      <c r="D132">
        <f t="shared" si="7"/>
        <v>2025</v>
      </c>
    </row>
    <row r="133" spans="1:4" x14ac:dyDescent="0.35">
      <c r="A133" s="2">
        <v>45970</v>
      </c>
      <c r="B133">
        <v>1463</v>
      </c>
      <c r="C133" t="str">
        <f t="shared" si="6"/>
        <v>Qtr4</v>
      </c>
      <c r="D133">
        <f t="shared" si="7"/>
        <v>2025</v>
      </c>
    </row>
    <row r="134" spans="1:4" x14ac:dyDescent="0.35">
      <c r="A134" s="2">
        <v>45971</v>
      </c>
      <c r="B134">
        <v>2081</v>
      </c>
      <c r="C134" t="str">
        <f t="shared" si="6"/>
        <v>Qtr4</v>
      </c>
      <c r="D134">
        <f t="shared" si="7"/>
        <v>2025</v>
      </c>
    </row>
    <row r="135" spans="1:4" x14ac:dyDescent="0.35">
      <c r="A135" s="2">
        <v>45972</v>
      </c>
      <c r="B135">
        <v>1763</v>
      </c>
      <c r="C135" t="str">
        <f t="shared" si="6"/>
        <v>Qtr4</v>
      </c>
      <c r="D135">
        <f t="shared" si="7"/>
        <v>2025</v>
      </c>
    </row>
    <row r="136" spans="1:4" x14ac:dyDescent="0.35">
      <c r="A136" s="2">
        <v>45973</v>
      </c>
      <c r="B136">
        <v>1629</v>
      </c>
      <c r="C136" t="str">
        <f t="shared" si="6"/>
        <v>Qtr4</v>
      </c>
      <c r="D136">
        <f t="shared" si="7"/>
        <v>2025</v>
      </c>
    </row>
    <row r="137" spans="1:4" x14ac:dyDescent="0.35">
      <c r="A137" s="2">
        <v>45974</v>
      </c>
      <c r="B137">
        <v>2138</v>
      </c>
      <c r="C137" t="str">
        <f t="shared" si="6"/>
        <v>Qtr4</v>
      </c>
      <c r="D137">
        <f t="shared" si="7"/>
        <v>2025</v>
      </c>
    </row>
    <row r="138" spans="1:4" x14ac:dyDescent="0.35">
      <c r="A138" s="2">
        <v>45975</v>
      </c>
      <c r="B138">
        <v>3402</v>
      </c>
      <c r="C138" t="str">
        <f t="shared" si="6"/>
        <v>Qtr4</v>
      </c>
      <c r="D138">
        <f t="shared" si="7"/>
        <v>2025</v>
      </c>
    </row>
    <row r="139" spans="1:4" x14ac:dyDescent="0.35">
      <c r="A139" s="2">
        <v>45976</v>
      </c>
      <c r="B139">
        <v>2337</v>
      </c>
      <c r="C139" t="str">
        <f t="shared" si="6"/>
        <v>Qtr4</v>
      </c>
      <c r="D139">
        <f t="shared" si="7"/>
        <v>2025</v>
      </c>
    </row>
    <row r="140" spans="1:4" x14ac:dyDescent="0.35">
      <c r="A140" s="2">
        <v>45977</v>
      </c>
      <c r="B140">
        <v>1406</v>
      </c>
      <c r="C140" t="str">
        <f t="shared" si="6"/>
        <v>Qtr4</v>
      </c>
      <c r="D140">
        <f t="shared" si="7"/>
        <v>2025</v>
      </c>
    </row>
    <row r="141" spans="1:4" x14ac:dyDescent="0.35">
      <c r="A141" s="2">
        <v>45978</v>
      </c>
      <c r="B141">
        <v>4129</v>
      </c>
      <c r="C141" t="str">
        <f t="shared" si="6"/>
        <v>Qtr4</v>
      </c>
      <c r="D141">
        <f t="shared" si="7"/>
        <v>2025</v>
      </c>
    </row>
    <row r="142" spans="1:4" x14ac:dyDescent="0.35">
      <c r="A142" s="2">
        <v>45979</v>
      </c>
      <c r="B142">
        <v>2775</v>
      </c>
      <c r="C142" t="str">
        <f t="shared" si="6"/>
        <v>Qtr4</v>
      </c>
      <c r="D142">
        <f t="shared" si="7"/>
        <v>2025</v>
      </c>
    </row>
    <row r="143" spans="1:4" x14ac:dyDescent="0.35">
      <c r="A143" s="2">
        <v>45980</v>
      </c>
      <c r="B143">
        <v>1382</v>
      </c>
      <c r="C143" t="str">
        <f t="shared" si="6"/>
        <v>Qtr4</v>
      </c>
      <c r="D143">
        <f t="shared" si="7"/>
        <v>2025</v>
      </c>
    </row>
    <row r="144" spans="1:4" x14ac:dyDescent="0.35">
      <c r="A144" s="2">
        <v>45981</v>
      </c>
      <c r="B144">
        <v>809</v>
      </c>
      <c r="C144" t="str">
        <f t="shared" si="6"/>
        <v>Qtr4</v>
      </c>
      <c r="D144">
        <f t="shared" si="7"/>
        <v>2025</v>
      </c>
    </row>
    <row r="145" spans="1:4" x14ac:dyDescent="0.35">
      <c r="A145" s="2">
        <v>45982</v>
      </c>
      <c r="B145">
        <v>4844</v>
      </c>
      <c r="C145" t="str">
        <f t="shared" si="6"/>
        <v>Qtr4</v>
      </c>
      <c r="D145">
        <f t="shared" si="7"/>
        <v>2025</v>
      </c>
    </row>
    <row r="146" spans="1:4" x14ac:dyDescent="0.35">
      <c r="A146" s="2">
        <v>45983</v>
      </c>
      <c r="B146">
        <v>4513</v>
      </c>
      <c r="C146" t="str">
        <f t="shared" si="6"/>
        <v>Qtr4</v>
      </c>
      <c r="D146">
        <f t="shared" si="7"/>
        <v>2025</v>
      </c>
    </row>
    <row r="147" spans="1:4" x14ac:dyDescent="0.35">
      <c r="A147" s="2">
        <v>45984</v>
      </c>
      <c r="B147">
        <v>3848</v>
      </c>
      <c r="C147" t="str">
        <f t="shared" si="6"/>
        <v>Qtr4</v>
      </c>
      <c r="D147">
        <f t="shared" si="7"/>
        <v>2025</v>
      </c>
    </row>
    <row r="148" spans="1:4" x14ac:dyDescent="0.35">
      <c r="A148" s="2">
        <v>45985</v>
      </c>
      <c r="B148">
        <v>4879</v>
      </c>
      <c r="C148" t="str">
        <f t="shared" si="6"/>
        <v>Qtr4</v>
      </c>
      <c r="D148">
        <f t="shared" si="7"/>
        <v>2025</v>
      </c>
    </row>
    <row r="149" spans="1:4" x14ac:dyDescent="0.35">
      <c r="A149" s="2">
        <v>45986</v>
      </c>
      <c r="B149">
        <v>763</v>
      </c>
      <c r="C149" t="str">
        <f t="shared" si="6"/>
        <v>Qtr4</v>
      </c>
      <c r="D149">
        <f t="shared" si="7"/>
        <v>2025</v>
      </c>
    </row>
    <row r="150" spans="1:4" x14ac:dyDescent="0.35">
      <c r="A150" s="2">
        <v>45987</v>
      </c>
      <c r="B150">
        <v>2098</v>
      </c>
      <c r="C150" t="str">
        <f t="shared" si="6"/>
        <v>Qtr4</v>
      </c>
      <c r="D150">
        <f t="shared" si="7"/>
        <v>2025</v>
      </c>
    </row>
    <row r="151" spans="1:4" x14ac:dyDescent="0.35">
      <c r="A151" s="2">
        <v>45988</v>
      </c>
      <c r="B151">
        <v>3545</v>
      </c>
      <c r="C151" t="str">
        <f t="shared" si="6"/>
        <v>Qtr4</v>
      </c>
      <c r="D151">
        <f t="shared" si="7"/>
        <v>2025</v>
      </c>
    </row>
    <row r="152" spans="1:4" x14ac:dyDescent="0.35">
      <c r="A152" s="2">
        <v>45989</v>
      </c>
      <c r="B152">
        <v>3843</v>
      </c>
      <c r="C152" t="str">
        <f t="shared" si="6"/>
        <v>Qtr4</v>
      </c>
      <c r="D152">
        <f t="shared" si="7"/>
        <v>2025</v>
      </c>
    </row>
    <row r="153" spans="1:4" x14ac:dyDescent="0.35">
      <c r="A153" s="2">
        <v>45990</v>
      </c>
      <c r="B153">
        <v>1595</v>
      </c>
      <c r="C153" t="str">
        <f t="shared" si="6"/>
        <v>Qtr4</v>
      </c>
      <c r="D153">
        <f t="shared" si="7"/>
        <v>2025</v>
      </c>
    </row>
    <row r="154" spans="1:4" x14ac:dyDescent="0.35">
      <c r="A154" s="2">
        <v>45991</v>
      </c>
      <c r="B154">
        <v>3404</v>
      </c>
      <c r="C154" t="str">
        <f t="shared" si="6"/>
        <v>Qtr4</v>
      </c>
      <c r="D154">
        <f t="shared" si="7"/>
        <v>2025</v>
      </c>
    </row>
    <row r="155" spans="1:4" x14ac:dyDescent="0.35">
      <c r="A155" s="2">
        <v>45992</v>
      </c>
      <c r="B155">
        <v>3863</v>
      </c>
      <c r="C155" t="str">
        <f t="shared" si="6"/>
        <v>Qtr4</v>
      </c>
      <c r="D155">
        <f t="shared" si="7"/>
        <v>2025</v>
      </c>
    </row>
    <row r="156" spans="1:4" x14ac:dyDescent="0.35">
      <c r="A156" s="2">
        <v>45993</v>
      </c>
      <c r="B156">
        <v>1953</v>
      </c>
      <c r="C156" t="str">
        <f t="shared" si="6"/>
        <v>Qtr4</v>
      </c>
      <c r="D156">
        <f t="shared" si="7"/>
        <v>2025</v>
      </c>
    </row>
    <row r="157" spans="1:4" x14ac:dyDescent="0.35">
      <c r="A157" s="2">
        <v>45994</v>
      </c>
      <c r="B157">
        <v>4759</v>
      </c>
      <c r="C157" t="str">
        <f t="shared" si="6"/>
        <v>Qtr4</v>
      </c>
      <c r="D157">
        <f t="shared" si="7"/>
        <v>2025</v>
      </c>
    </row>
    <row r="158" spans="1:4" x14ac:dyDescent="0.35">
      <c r="A158" s="2">
        <v>45995</v>
      </c>
      <c r="B158">
        <v>1391</v>
      </c>
      <c r="C158" t="str">
        <f t="shared" si="6"/>
        <v>Qtr4</v>
      </c>
      <c r="D158">
        <f t="shared" si="7"/>
        <v>2025</v>
      </c>
    </row>
    <row r="159" spans="1:4" x14ac:dyDescent="0.35">
      <c r="A159" s="2">
        <v>45996</v>
      </c>
      <c r="B159">
        <v>3681</v>
      </c>
      <c r="C159" t="str">
        <f t="shared" si="6"/>
        <v>Qtr4</v>
      </c>
      <c r="D159">
        <f t="shared" si="7"/>
        <v>2025</v>
      </c>
    </row>
    <row r="160" spans="1:4" x14ac:dyDescent="0.35">
      <c r="A160" s="2">
        <v>45997</v>
      </c>
      <c r="B160">
        <v>3557</v>
      </c>
      <c r="C160" t="str">
        <f t="shared" si="6"/>
        <v>Qtr4</v>
      </c>
      <c r="D160">
        <f t="shared" si="7"/>
        <v>2025</v>
      </c>
    </row>
    <row r="161" spans="1:4" x14ac:dyDescent="0.35">
      <c r="A161" s="2">
        <v>45998</v>
      </c>
      <c r="B161">
        <v>1736</v>
      </c>
      <c r="C161" t="str">
        <f t="shared" si="6"/>
        <v>Qtr4</v>
      </c>
      <c r="D161">
        <f t="shared" si="7"/>
        <v>2025</v>
      </c>
    </row>
    <row r="162" spans="1:4" x14ac:dyDescent="0.35">
      <c r="A162" s="2">
        <v>45999</v>
      </c>
      <c r="B162">
        <v>3796</v>
      </c>
      <c r="C162" t="str">
        <f t="shared" si="6"/>
        <v>Qtr4</v>
      </c>
      <c r="D162">
        <f t="shared" si="7"/>
        <v>2025</v>
      </c>
    </row>
    <row r="163" spans="1:4" x14ac:dyDescent="0.35">
      <c r="A163" s="2">
        <v>46000</v>
      </c>
      <c r="B163">
        <v>3099</v>
      </c>
      <c r="C163" t="str">
        <f t="shared" si="6"/>
        <v>Qtr4</v>
      </c>
      <c r="D163">
        <f t="shared" si="7"/>
        <v>2025</v>
      </c>
    </row>
    <row r="164" spans="1:4" x14ac:dyDescent="0.35">
      <c r="A164" s="2">
        <v>46001</v>
      </c>
      <c r="B164">
        <v>3252</v>
      </c>
      <c r="C164" t="str">
        <f t="shared" si="6"/>
        <v>Qtr4</v>
      </c>
      <c r="D164">
        <f t="shared" si="7"/>
        <v>2025</v>
      </c>
    </row>
    <row r="165" spans="1:4" x14ac:dyDescent="0.35">
      <c r="A165" s="2">
        <v>46002</v>
      </c>
      <c r="B165">
        <v>798</v>
      </c>
      <c r="C165" t="str">
        <f t="shared" si="6"/>
        <v>Qtr4</v>
      </c>
      <c r="D165">
        <f t="shared" si="7"/>
        <v>2025</v>
      </c>
    </row>
    <row r="166" spans="1:4" x14ac:dyDescent="0.35">
      <c r="A166" s="2">
        <v>46003</v>
      </c>
      <c r="B166">
        <v>2260</v>
      </c>
      <c r="C166" t="str">
        <f t="shared" si="6"/>
        <v>Qtr4</v>
      </c>
      <c r="D166">
        <f t="shared" si="7"/>
        <v>2025</v>
      </c>
    </row>
    <row r="167" spans="1:4" x14ac:dyDescent="0.35">
      <c r="A167" s="2">
        <v>46004</v>
      </c>
      <c r="B167">
        <v>4197</v>
      </c>
      <c r="C167" t="str">
        <f t="shared" si="6"/>
        <v>Qtr4</v>
      </c>
      <c r="D167">
        <f t="shared" si="7"/>
        <v>2025</v>
      </c>
    </row>
    <row r="168" spans="1:4" x14ac:dyDescent="0.35">
      <c r="A168" s="2">
        <v>46005</v>
      </c>
      <c r="B168">
        <v>4837</v>
      </c>
      <c r="C168" t="str">
        <f t="shared" si="6"/>
        <v>Qtr4</v>
      </c>
      <c r="D168">
        <f t="shared" si="7"/>
        <v>2025</v>
      </c>
    </row>
    <row r="169" spans="1:4" x14ac:dyDescent="0.35">
      <c r="A169" s="2">
        <v>46006</v>
      </c>
      <c r="B169">
        <v>954</v>
      </c>
      <c r="C169" t="str">
        <f t="shared" si="6"/>
        <v>Qtr4</v>
      </c>
      <c r="D169">
        <f t="shared" si="7"/>
        <v>2025</v>
      </c>
    </row>
    <row r="170" spans="1:4" x14ac:dyDescent="0.35">
      <c r="A170" s="2">
        <v>46007</v>
      </c>
      <c r="B170">
        <v>3574</v>
      </c>
      <c r="C170" t="str">
        <f t="shared" si="6"/>
        <v>Qtr4</v>
      </c>
      <c r="D170">
        <f t="shared" si="7"/>
        <v>2025</v>
      </c>
    </row>
    <row r="171" spans="1:4" x14ac:dyDescent="0.35">
      <c r="A171" s="2">
        <v>46008</v>
      </c>
      <c r="B171">
        <v>1807</v>
      </c>
      <c r="C171" t="str">
        <f t="shared" si="6"/>
        <v>Qtr4</v>
      </c>
      <c r="D171">
        <f t="shared" si="7"/>
        <v>2025</v>
      </c>
    </row>
    <row r="172" spans="1:4" x14ac:dyDescent="0.35">
      <c r="A172" s="2">
        <v>46009</v>
      </c>
      <c r="B172">
        <v>2877</v>
      </c>
      <c r="C172" t="str">
        <f t="shared" si="6"/>
        <v>Qtr4</v>
      </c>
      <c r="D172">
        <f t="shared" si="7"/>
        <v>2025</v>
      </c>
    </row>
    <row r="173" spans="1:4" x14ac:dyDescent="0.35">
      <c r="A173" s="2">
        <v>46010</v>
      </c>
      <c r="B173">
        <v>1833</v>
      </c>
      <c r="C173" t="str">
        <f t="shared" si="6"/>
        <v>Qtr4</v>
      </c>
      <c r="D173">
        <f t="shared" si="7"/>
        <v>2025</v>
      </c>
    </row>
    <row r="174" spans="1:4" x14ac:dyDescent="0.35">
      <c r="A174" s="2">
        <v>46011</v>
      </c>
      <c r="B174">
        <v>3610</v>
      </c>
      <c r="C174" t="str">
        <f t="shared" si="6"/>
        <v>Qtr4</v>
      </c>
      <c r="D174">
        <f t="shared" si="7"/>
        <v>2025</v>
      </c>
    </row>
    <row r="175" spans="1:4" x14ac:dyDescent="0.35">
      <c r="A175" s="2">
        <v>46012</v>
      </c>
      <c r="B175">
        <v>302</v>
      </c>
      <c r="C175" t="str">
        <f t="shared" si="6"/>
        <v>Qtr4</v>
      </c>
      <c r="D175">
        <f t="shared" si="7"/>
        <v>2025</v>
      </c>
    </row>
    <row r="176" spans="1:4" x14ac:dyDescent="0.35">
      <c r="A176" s="2">
        <v>46013</v>
      </c>
      <c r="B176">
        <v>3355</v>
      </c>
      <c r="C176" t="str">
        <f t="shared" si="6"/>
        <v>Qtr4</v>
      </c>
      <c r="D176">
        <f t="shared" si="7"/>
        <v>2025</v>
      </c>
    </row>
    <row r="177" spans="1:4" x14ac:dyDescent="0.35">
      <c r="A177" s="2">
        <v>46014</v>
      </c>
      <c r="B177">
        <v>4318</v>
      </c>
      <c r="C177" t="str">
        <f t="shared" si="6"/>
        <v>Qtr4</v>
      </c>
      <c r="D177">
        <f t="shared" si="7"/>
        <v>2025</v>
      </c>
    </row>
    <row r="178" spans="1:4" x14ac:dyDescent="0.35">
      <c r="A178" s="2">
        <v>46015</v>
      </c>
      <c r="B178">
        <v>4596</v>
      </c>
      <c r="C178" t="str">
        <f t="shared" si="6"/>
        <v>Qtr4</v>
      </c>
      <c r="D178">
        <f t="shared" si="7"/>
        <v>2025</v>
      </c>
    </row>
    <row r="179" spans="1:4" x14ac:dyDescent="0.35">
      <c r="A179" s="2">
        <v>46016</v>
      </c>
      <c r="B179">
        <v>866</v>
      </c>
      <c r="C179" t="str">
        <f t="shared" si="6"/>
        <v>Qtr4</v>
      </c>
      <c r="D179">
        <f t="shared" si="7"/>
        <v>2025</v>
      </c>
    </row>
    <row r="180" spans="1:4" x14ac:dyDescent="0.35">
      <c r="A180" s="2">
        <v>46017</v>
      </c>
      <c r="B180">
        <v>4489</v>
      </c>
      <c r="C180" t="str">
        <f t="shared" si="6"/>
        <v>Qtr4</v>
      </c>
      <c r="D180">
        <f t="shared" si="7"/>
        <v>2025</v>
      </c>
    </row>
    <row r="181" spans="1:4" x14ac:dyDescent="0.35">
      <c r="A181" s="2">
        <v>46018</v>
      </c>
      <c r="B181">
        <v>2427</v>
      </c>
      <c r="C181" t="str">
        <f t="shared" si="6"/>
        <v>Qtr4</v>
      </c>
      <c r="D181">
        <f t="shared" si="7"/>
        <v>2025</v>
      </c>
    </row>
    <row r="182" spans="1:4" x14ac:dyDescent="0.35">
      <c r="A182" s="2">
        <v>46019</v>
      </c>
      <c r="B182">
        <v>3031</v>
      </c>
      <c r="C182" t="str">
        <f t="shared" si="6"/>
        <v>Qtr4</v>
      </c>
      <c r="D182">
        <f t="shared" si="7"/>
        <v>2025</v>
      </c>
    </row>
    <row r="183" spans="1:4" x14ac:dyDescent="0.35">
      <c r="A183" s="2">
        <v>46020</v>
      </c>
      <c r="B183">
        <v>297</v>
      </c>
      <c r="C183" t="str">
        <f t="shared" si="6"/>
        <v>Qtr4</v>
      </c>
      <c r="D183">
        <f t="shared" si="7"/>
        <v>2025</v>
      </c>
    </row>
    <row r="184" spans="1:4" x14ac:dyDescent="0.35">
      <c r="A184" s="2">
        <v>46021</v>
      </c>
      <c r="B184">
        <v>2030</v>
      </c>
      <c r="C184" t="str">
        <f t="shared" si="6"/>
        <v>Qtr4</v>
      </c>
      <c r="D184">
        <f t="shared" si="7"/>
        <v>2025</v>
      </c>
    </row>
    <row r="185" spans="1:4" x14ac:dyDescent="0.35">
      <c r="A185" s="2">
        <v>46022</v>
      </c>
      <c r="B185">
        <v>3682</v>
      </c>
      <c r="C185" t="str">
        <f t="shared" si="6"/>
        <v>Qtr4</v>
      </c>
      <c r="D185">
        <f t="shared" si="7"/>
        <v>2025</v>
      </c>
    </row>
    <row r="186" spans="1:4" x14ac:dyDescent="0.35">
      <c r="A186" s="2">
        <v>46023</v>
      </c>
      <c r="B186">
        <v>708</v>
      </c>
      <c r="C186" t="str">
        <f t="shared" si="6"/>
        <v>Qtr0</v>
      </c>
      <c r="D186">
        <f t="shared" si="7"/>
        <v>2026</v>
      </c>
    </row>
    <row r="187" spans="1:4" x14ac:dyDescent="0.35">
      <c r="A187" s="2">
        <v>46024</v>
      </c>
      <c r="B187">
        <v>3372</v>
      </c>
      <c r="C187" t="str">
        <f t="shared" si="6"/>
        <v>Qtr0</v>
      </c>
      <c r="D187">
        <f t="shared" si="7"/>
        <v>2026</v>
      </c>
    </row>
    <row r="188" spans="1:4" x14ac:dyDescent="0.35">
      <c r="A188" s="2">
        <v>46025</v>
      </c>
      <c r="B188">
        <v>1247</v>
      </c>
      <c r="C188" t="str">
        <f t="shared" si="6"/>
        <v>Qtr0</v>
      </c>
      <c r="D188">
        <f t="shared" si="7"/>
        <v>2026</v>
      </c>
    </row>
    <row r="189" spans="1:4" x14ac:dyDescent="0.35">
      <c r="A189" s="2">
        <v>46026</v>
      </c>
      <c r="B189">
        <v>4382</v>
      </c>
      <c r="C189" t="str">
        <f t="shared" si="6"/>
        <v>Qtr0</v>
      </c>
      <c r="D189">
        <f t="shared" si="7"/>
        <v>2026</v>
      </c>
    </row>
    <row r="190" spans="1:4" x14ac:dyDescent="0.35">
      <c r="A190" s="2">
        <v>46027</v>
      </c>
      <c r="B190">
        <v>3497</v>
      </c>
      <c r="C190" t="str">
        <f t="shared" si="6"/>
        <v>Qtr0</v>
      </c>
      <c r="D190">
        <f t="shared" si="7"/>
        <v>2026</v>
      </c>
    </row>
    <row r="191" spans="1:4" x14ac:dyDescent="0.35">
      <c r="A191" s="2">
        <v>46028</v>
      </c>
      <c r="B191">
        <v>2611</v>
      </c>
      <c r="C191" t="str">
        <f t="shared" si="6"/>
        <v>Qtr0</v>
      </c>
      <c r="D191">
        <f t="shared" si="7"/>
        <v>2026</v>
      </c>
    </row>
    <row r="192" spans="1:4" x14ac:dyDescent="0.35">
      <c r="A192" s="2">
        <v>46029</v>
      </c>
      <c r="B192">
        <v>1894</v>
      </c>
      <c r="C192" t="str">
        <f t="shared" si="6"/>
        <v>Qtr0</v>
      </c>
      <c r="D192">
        <f t="shared" si="7"/>
        <v>2026</v>
      </c>
    </row>
    <row r="193" spans="1:4" x14ac:dyDescent="0.35">
      <c r="A193" s="2">
        <v>46030</v>
      </c>
      <c r="B193">
        <v>759</v>
      </c>
      <c r="C193" t="str">
        <f t="shared" si="6"/>
        <v>Qtr0</v>
      </c>
      <c r="D193">
        <f t="shared" si="7"/>
        <v>2026</v>
      </c>
    </row>
    <row r="194" spans="1:4" x14ac:dyDescent="0.35">
      <c r="A194" s="2">
        <v>46031</v>
      </c>
      <c r="B194">
        <v>2911</v>
      </c>
      <c r="C194" t="str">
        <f t="shared" si="6"/>
        <v>Qtr0</v>
      </c>
      <c r="D194">
        <f t="shared" si="7"/>
        <v>2026</v>
      </c>
    </row>
    <row r="195" spans="1:4" x14ac:dyDescent="0.35">
      <c r="A195" s="2">
        <v>46032</v>
      </c>
      <c r="B195">
        <v>1469</v>
      </c>
      <c r="C195" t="str">
        <f t="shared" ref="C195:C258" si="8" xml:space="preserve"> "Qtr"&amp;ROUND(MONTH(A195)/3,0)</f>
        <v>Qtr0</v>
      </c>
      <c r="D195">
        <f t="shared" ref="D195:D258" si="9">YEAR(A195)</f>
        <v>2026</v>
      </c>
    </row>
    <row r="196" spans="1:4" x14ac:dyDescent="0.35">
      <c r="A196" s="2">
        <v>46033</v>
      </c>
      <c r="B196">
        <v>2086</v>
      </c>
      <c r="C196" t="str">
        <f t="shared" si="8"/>
        <v>Qtr0</v>
      </c>
      <c r="D196">
        <f t="shared" si="9"/>
        <v>2026</v>
      </c>
    </row>
    <row r="197" spans="1:4" x14ac:dyDescent="0.35">
      <c r="A197" s="2">
        <v>46034</v>
      </c>
      <c r="B197">
        <v>246</v>
      </c>
      <c r="C197" t="str">
        <f t="shared" si="8"/>
        <v>Qtr0</v>
      </c>
      <c r="D197">
        <f t="shared" si="9"/>
        <v>2026</v>
      </c>
    </row>
    <row r="198" spans="1:4" x14ac:dyDescent="0.35">
      <c r="A198" s="2">
        <v>46035</v>
      </c>
      <c r="B198">
        <v>3319</v>
      </c>
      <c r="C198" t="str">
        <f t="shared" si="8"/>
        <v>Qtr0</v>
      </c>
      <c r="D198">
        <f t="shared" si="9"/>
        <v>2026</v>
      </c>
    </row>
    <row r="199" spans="1:4" x14ac:dyDescent="0.35">
      <c r="A199" s="2">
        <v>46036</v>
      </c>
      <c r="B199">
        <v>3011</v>
      </c>
      <c r="C199" t="str">
        <f t="shared" si="8"/>
        <v>Qtr0</v>
      </c>
      <c r="D199">
        <f t="shared" si="9"/>
        <v>2026</v>
      </c>
    </row>
    <row r="200" spans="1:4" x14ac:dyDescent="0.35">
      <c r="A200" s="2">
        <v>46037</v>
      </c>
      <c r="B200">
        <v>1834</v>
      </c>
      <c r="C200" t="str">
        <f t="shared" si="8"/>
        <v>Qtr0</v>
      </c>
      <c r="D200">
        <f t="shared" si="9"/>
        <v>2026</v>
      </c>
    </row>
    <row r="201" spans="1:4" x14ac:dyDescent="0.35">
      <c r="A201" s="2">
        <v>46038</v>
      </c>
      <c r="B201">
        <v>1943</v>
      </c>
      <c r="C201" t="str">
        <f t="shared" si="8"/>
        <v>Qtr0</v>
      </c>
      <c r="D201">
        <f t="shared" si="9"/>
        <v>2026</v>
      </c>
    </row>
    <row r="202" spans="1:4" x14ac:dyDescent="0.35">
      <c r="A202" s="2">
        <v>46039</v>
      </c>
      <c r="B202">
        <v>588</v>
      </c>
      <c r="C202" t="str">
        <f t="shared" si="8"/>
        <v>Qtr0</v>
      </c>
      <c r="D202">
        <f t="shared" si="9"/>
        <v>2026</v>
      </c>
    </row>
    <row r="203" spans="1:4" x14ac:dyDescent="0.35">
      <c r="A203" s="2">
        <v>46040</v>
      </c>
      <c r="B203">
        <v>3076</v>
      </c>
      <c r="C203" t="str">
        <f t="shared" si="8"/>
        <v>Qtr0</v>
      </c>
      <c r="D203">
        <f t="shared" si="9"/>
        <v>2026</v>
      </c>
    </row>
    <row r="204" spans="1:4" x14ac:dyDescent="0.35">
      <c r="A204" s="2">
        <v>46041</v>
      </c>
      <c r="B204">
        <v>2059</v>
      </c>
      <c r="C204" t="str">
        <f t="shared" si="8"/>
        <v>Qtr0</v>
      </c>
      <c r="D204">
        <f t="shared" si="9"/>
        <v>2026</v>
      </c>
    </row>
    <row r="205" spans="1:4" x14ac:dyDescent="0.35">
      <c r="A205" s="2">
        <v>46042</v>
      </c>
      <c r="B205">
        <v>2485</v>
      </c>
      <c r="C205" t="str">
        <f t="shared" si="8"/>
        <v>Qtr0</v>
      </c>
      <c r="D205">
        <f t="shared" si="9"/>
        <v>2026</v>
      </c>
    </row>
    <row r="206" spans="1:4" x14ac:dyDescent="0.35">
      <c r="A206" s="2">
        <v>46043</v>
      </c>
      <c r="B206">
        <v>3019</v>
      </c>
      <c r="C206" t="str">
        <f t="shared" si="8"/>
        <v>Qtr0</v>
      </c>
      <c r="D206">
        <f t="shared" si="9"/>
        <v>2026</v>
      </c>
    </row>
    <row r="207" spans="1:4" x14ac:dyDescent="0.35">
      <c r="A207" s="2">
        <v>46044</v>
      </c>
      <c r="B207">
        <v>4836</v>
      </c>
      <c r="C207" t="str">
        <f t="shared" si="8"/>
        <v>Qtr0</v>
      </c>
      <c r="D207">
        <f t="shared" si="9"/>
        <v>2026</v>
      </c>
    </row>
    <row r="208" spans="1:4" x14ac:dyDescent="0.35">
      <c r="A208" s="2">
        <v>46045</v>
      </c>
      <c r="B208">
        <v>1902</v>
      </c>
      <c r="C208" t="str">
        <f t="shared" si="8"/>
        <v>Qtr0</v>
      </c>
      <c r="D208">
        <f t="shared" si="9"/>
        <v>2026</v>
      </c>
    </row>
    <row r="209" spans="1:4" x14ac:dyDescent="0.35">
      <c r="A209" s="2">
        <v>46046</v>
      </c>
      <c r="B209">
        <v>4161</v>
      </c>
      <c r="C209" t="str">
        <f t="shared" si="8"/>
        <v>Qtr0</v>
      </c>
      <c r="D209">
        <f t="shared" si="9"/>
        <v>2026</v>
      </c>
    </row>
    <row r="210" spans="1:4" x14ac:dyDescent="0.35">
      <c r="A210" s="2">
        <v>46047</v>
      </c>
      <c r="B210">
        <v>3469</v>
      </c>
      <c r="C210" t="str">
        <f t="shared" si="8"/>
        <v>Qtr0</v>
      </c>
      <c r="D210">
        <f t="shared" si="9"/>
        <v>2026</v>
      </c>
    </row>
    <row r="211" spans="1:4" x14ac:dyDescent="0.35">
      <c r="A211" s="2">
        <v>46048</v>
      </c>
      <c r="B211">
        <v>362</v>
      </c>
      <c r="C211" t="str">
        <f t="shared" si="8"/>
        <v>Qtr0</v>
      </c>
      <c r="D211">
        <f t="shared" si="9"/>
        <v>2026</v>
      </c>
    </row>
    <row r="212" spans="1:4" x14ac:dyDescent="0.35">
      <c r="A212" s="2">
        <v>46049</v>
      </c>
      <c r="B212">
        <v>723</v>
      </c>
      <c r="C212" t="str">
        <f t="shared" si="8"/>
        <v>Qtr0</v>
      </c>
      <c r="D212">
        <f t="shared" si="9"/>
        <v>2026</v>
      </c>
    </row>
    <row r="213" spans="1:4" x14ac:dyDescent="0.35">
      <c r="A213" s="2">
        <v>46050</v>
      </c>
      <c r="B213">
        <v>1116</v>
      </c>
      <c r="C213" t="str">
        <f t="shared" si="8"/>
        <v>Qtr0</v>
      </c>
      <c r="D213">
        <f t="shared" si="9"/>
        <v>2026</v>
      </c>
    </row>
    <row r="214" spans="1:4" x14ac:dyDescent="0.35">
      <c r="A214" s="2">
        <v>46051</v>
      </c>
      <c r="B214">
        <v>3743</v>
      </c>
      <c r="C214" t="str">
        <f t="shared" si="8"/>
        <v>Qtr0</v>
      </c>
      <c r="D214">
        <f t="shared" si="9"/>
        <v>2026</v>
      </c>
    </row>
    <row r="215" spans="1:4" x14ac:dyDescent="0.35">
      <c r="A215" s="2">
        <v>46052</v>
      </c>
      <c r="B215">
        <v>2149</v>
      </c>
      <c r="C215" t="str">
        <f t="shared" si="8"/>
        <v>Qtr0</v>
      </c>
      <c r="D215">
        <f t="shared" si="9"/>
        <v>2026</v>
      </c>
    </row>
    <row r="216" spans="1:4" x14ac:dyDescent="0.35">
      <c r="A216" s="2">
        <v>46053</v>
      </c>
      <c r="B216">
        <v>3823</v>
      </c>
      <c r="C216" t="str">
        <f t="shared" si="8"/>
        <v>Qtr0</v>
      </c>
      <c r="D216">
        <f t="shared" si="9"/>
        <v>2026</v>
      </c>
    </row>
    <row r="217" spans="1:4" x14ac:dyDescent="0.35">
      <c r="A217" s="2">
        <v>46054</v>
      </c>
      <c r="B217">
        <v>4648</v>
      </c>
      <c r="C217" t="str">
        <f t="shared" si="8"/>
        <v>Qtr1</v>
      </c>
      <c r="D217">
        <f t="shared" si="9"/>
        <v>2026</v>
      </c>
    </row>
    <row r="218" spans="1:4" x14ac:dyDescent="0.35">
      <c r="A218" s="2">
        <v>46055</v>
      </c>
      <c r="B218">
        <v>3208</v>
      </c>
      <c r="C218" t="str">
        <f t="shared" si="8"/>
        <v>Qtr1</v>
      </c>
      <c r="D218">
        <f t="shared" si="9"/>
        <v>2026</v>
      </c>
    </row>
    <row r="219" spans="1:4" x14ac:dyDescent="0.35">
      <c r="A219" s="2">
        <v>46056</v>
      </c>
      <c r="B219">
        <v>4190</v>
      </c>
      <c r="C219" t="str">
        <f t="shared" si="8"/>
        <v>Qtr1</v>
      </c>
      <c r="D219">
        <f t="shared" si="9"/>
        <v>2026</v>
      </c>
    </row>
    <row r="220" spans="1:4" x14ac:dyDescent="0.35">
      <c r="A220" s="2">
        <v>46057</v>
      </c>
      <c r="B220">
        <v>2156</v>
      </c>
      <c r="C220" t="str">
        <f t="shared" si="8"/>
        <v>Qtr1</v>
      </c>
      <c r="D220">
        <f t="shared" si="9"/>
        <v>2026</v>
      </c>
    </row>
    <row r="221" spans="1:4" x14ac:dyDescent="0.35">
      <c r="A221" s="2">
        <v>46058</v>
      </c>
      <c r="B221">
        <v>3270</v>
      </c>
      <c r="C221" t="str">
        <f t="shared" si="8"/>
        <v>Qtr1</v>
      </c>
      <c r="D221">
        <f t="shared" si="9"/>
        <v>2026</v>
      </c>
    </row>
    <row r="222" spans="1:4" x14ac:dyDescent="0.35">
      <c r="A222" s="2">
        <v>46059</v>
      </c>
      <c r="B222">
        <v>1782</v>
      </c>
      <c r="C222" t="str">
        <f t="shared" si="8"/>
        <v>Qtr1</v>
      </c>
      <c r="D222">
        <f t="shared" si="9"/>
        <v>2026</v>
      </c>
    </row>
    <row r="223" spans="1:4" x14ac:dyDescent="0.35">
      <c r="A223" s="2">
        <v>46060</v>
      </c>
      <c r="B223">
        <v>2355</v>
      </c>
      <c r="C223" t="str">
        <f t="shared" si="8"/>
        <v>Qtr1</v>
      </c>
      <c r="D223">
        <f t="shared" si="9"/>
        <v>2026</v>
      </c>
    </row>
    <row r="224" spans="1:4" x14ac:dyDescent="0.35">
      <c r="A224" s="2">
        <v>46061</v>
      </c>
      <c r="B224">
        <v>1254</v>
      </c>
      <c r="C224" t="str">
        <f t="shared" si="8"/>
        <v>Qtr1</v>
      </c>
      <c r="D224">
        <f t="shared" si="9"/>
        <v>2026</v>
      </c>
    </row>
    <row r="225" spans="1:4" x14ac:dyDescent="0.35">
      <c r="A225" s="2">
        <v>46062</v>
      </c>
      <c r="B225">
        <v>4599</v>
      </c>
      <c r="C225" t="str">
        <f t="shared" si="8"/>
        <v>Qtr1</v>
      </c>
      <c r="D225">
        <f t="shared" si="9"/>
        <v>2026</v>
      </c>
    </row>
    <row r="226" spans="1:4" x14ac:dyDescent="0.35">
      <c r="A226" s="2">
        <v>46063</v>
      </c>
      <c r="B226">
        <v>3291</v>
      </c>
      <c r="C226" t="str">
        <f t="shared" si="8"/>
        <v>Qtr1</v>
      </c>
      <c r="D226">
        <f t="shared" si="9"/>
        <v>2026</v>
      </c>
    </row>
    <row r="227" spans="1:4" x14ac:dyDescent="0.35">
      <c r="A227" s="2">
        <v>46064</v>
      </c>
      <c r="B227">
        <v>1796</v>
      </c>
      <c r="C227" t="str">
        <f t="shared" si="8"/>
        <v>Qtr1</v>
      </c>
      <c r="D227">
        <f t="shared" si="9"/>
        <v>2026</v>
      </c>
    </row>
    <row r="228" spans="1:4" x14ac:dyDescent="0.35">
      <c r="A228" s="2">
        <v>46065</v>
      </c>
      <c r="B228">
        <v>4091</v>
      </c>
      <c r="C228" t="str">
        <f t="shared" si="8"/>
        <v>Qtr1</v>
      </c>
      <c r="D228">
        <f t="shared" si="9"/>
        <v>2026</v>
      </c>
    </row>
    <row r="229" spans="1:4" x14ac:dyDescent="0.35">
      <c r="A229" s="2">
        <v>46066</v>
      </c>
      <c r="B229">
        <v>4823</v>
      </c>
      <c r="C229" t="str">
        <f t="shared" si="8"/>
        <v>Qtr1</v>
      </c>
      <c r="D229">
        <f t="shared" si="9"/>
        <v>2026</v>
      </c>
    </row>
    <row r="230" spans="1:4" x14ac:dyDescent="0.35">
      <c r="A230" s="2">
        <v>46067</v>
      </c>
      <c r="B230">
        <v>4782</v>
      </c>
      <c r="C230" t="str">
        <f t="shared" si="8"/>
        <v>Qtr1</v>
      </c>
      <c r="D230">
        <f t="shared" si="9"/>
        <v>2026</v>
      </c>
    </row>
    <row r="231" spans="1:4" x14ac:dyDescent="0.35">
      <c r="A231" s="2">
        <v>46068</v>
      </c>
      <c r="B231">
        <v>1748</v>
      </c>
      <c r="C231" t="str">
        <f t="shared" si="8"/>
        <v>Qtr1</v>
      </c>
      <c r="D231">
        <f t="shared" si="9"/>
        <v>2026</v>
      </c>
    </row>
    <row r="232" spans="1:4" x14ac:dyDescent="0.35">
      <c r="A232" s="2">
        <v>46069</v>
      </c>
      <c r="B232">
        <v>1545</v>
      </c>
      <c r="C232" t="str">
        <f t="shared" si="8"/>
        <v>Qtr1</v>
      </c>
      <c r="D232">
        <f t="shared" si="9"/>
        <v>2026</v>
      </c>
    </row>
    <row r="233" spans="1:4" x14ac:dyDescent="0.35">
      <c r="A233" s="2">
        <v>46070</v>
      </c>
      <c r="B233">
        <v>4299</v>
      </c>
      <c r="C233" t="str">
        <f t="shared" si="8"/>
        <v>Qtr1</v>
      </c>
      <c r="D233">
        <f t="shared" si="9"/>
        <v>2026</v>
      </c>
    </row>
    <row r="234" spans="1:4" x14ac:dyDescent="0.35">
      <c r="A234" s="2">
        <v>46071</v>
      </c>
      <c r="B234">
        <v>4023</v>
      </c>
      <c r="C234" t="str">
        <f t="shared" si="8"/>
        <v>Qtr1</v>
      </c>
      <c r="D234">
        <f t="shared" si="9"/>
        <v>2026</v>
      </c>
    </row>
    <row r="235" spans="1:4" x14ac:dyDescent="0.35">
      <c r="A235" s="2">
        <v>46072</v>
      </c>
      <c r="B235">
        <v>353</v>
      </c>
      <c r="C235" t="str">
        <f t="shared" si="8"/>
        <v>Qtr1</v>
      </c>
      <c r="D235">
        <f t="shared" si="9"/>
        <v>2026</v>
      </c>
    </row>
    <row r="236" spans="1:4" x14ac:dyDescent="0.35">
      <c r="A236" s="2">
        <v>46073</v>
      </c>
      <c r="B236">
        <v>3283</v>
      </c>
      <c r="C236" t="str">
        <f t="shared" si="8"/>
        <v>Qtr1</v>
      </c>
      <c r="D236">
        <f t="shared" si="9"/>
        <v>2026</v>
      </c>
    </row>
    <row r="237" spans="1:4" x14ac:dyDescent="0.35">
      <c r="A237" s="2">
        <v>46074</v>
      </c>
      <c r="B237">
        <v>2657</v>
      </c>
      <c r="C237" t="str">
        <f t="shared" si="8"/>
        <v>Qtr1</v>
      </c>
      <c r="D237">
        <f t="shared" si="9"/>
        <v>2026</v>
      </c>
    </row>
    <row r="238" spans="1:4" x14ac:dyDescent="0.35">
      <c r="A238" s="2">
        <v>46075</v>
      </c>
      <c r="B238">
        <v>198</v>
      </c>
      <c r="C238" t="str">
        <f t="shared" si="8"/>
        <v>Qtr1</v>
      </c>
      <c r="D238">
        <f t="shared" si="9"/>
        <v>2026</v>
      </c>
    </row>
    <row r="239" spans="1:4" x14ac:dyDescent="0.35">
      <c r="A239" s="2">
        <v>46076</v>
      </c>
      <c r="B239">
        <v>2300</v>
      </c>
      <c r="C239" t="str">
        <f t="shared" si="8"/>
        <v>Qtr1</v>
      </c>
      <c r="D239">
        <f t="shared" si="9"/>
        <v>2026</v>
      </c>
    </row>
    <row r="240" spans="1:4" x14ac:dyDescent="0.35">
      <c r="A240" s="2">
        <v>46077</v>
      </c>
      <c r="B240">
        <v>3061</v>
      </c>
      <c r="C240" t="str">
        <f t="shared" si="8"/>
        <v>Qtr1</v>
      </c>
      <c r="D240">
        <f t="shared" si="9"/>
        <v>2026</v>
      </c>
    </row>
    <row r="241" spans="1:4" x14ac:dyDescent="0.35">
      <c r="A241" s="2">
        <v>46078</v>
      </c>
      <c r="B241">
        <v>4533</v>
      </c>
      <c r="C241" t="str">
        <f t="shared" si="8"/>
        <v>Qtr1</v>
      </c>
      <c r="D241">
        <f t="shared" si="9"/>
        <v>2026</v>
      </c>
    </row>
    <row r="242" spans="1:4" x14ac:dyDescent="0.35">
      <c r="A242" s="2">
        <v>46079</v>
      </c>
      <c r="B242">
        <v>3877</v>
      </c>
      <c r="C242" t="str">
        <f t="shared" si="8"/>
        <v>Qtr1</v>
      </c>
      <c r="D242">
        <f t="shared" si="9"/>
        <v>2026</v>
      </c>
    </row>
    <row r="243" spans="1:4" x14ac:dyDescent="0.35">
      <c r="A243" s="2">
        <v>46080</v>
      </c>
      <c r="B243">
        <v>2969</v>
      </c>
      <c r="C243" t="str">
        <f t="shared" si="8"/>
        <v>Qtr1</v>
      </c>
      <c r="D243">
        <f t="shared" si="9"/>
        <v>2026</v>
      </c>
    </row>
    <row r="244" spans="1:4" x14ac:dyDescent="0.35">
      <c r="A244" s="2">
        <v>46081</v>
      </c>
      <c r="B244">
        <v>3334</v>
      </c>
      <c r="C244" t="str">
        <f t="shared" si="8"/>
        <v>Qtr1</v>
      </c>
      <c r="D244">
        <f t="shared" si="9"/>
        <v>2026</v>
      </c>
    </row>
    <row r="245" spans="1:4" x14ac:dyDescent="0.35">
      <c r="A245" s="2">
        <v>46082</v>
      </c>
      <c r="B245">
        <v>3891</v>
      </c>
      <c r="C245" t="str">
        <f t="shared" si="8"/>
        <v>Qtr1</v>
      </c>
      <c r="D245">
        <f t="shared" si="9"/>
        <v>2026</v>
      </c>
    </row>
    <row r="246" spans="1:4" x14ac:dyDescent="0.35">
      <c r="A246" s="2">
        <v>46083</v>
      </c>
      <c r="B246">
        <v>1056</v>
      </c>
      <c r="C246" t="str">
        <f t="shared" si="8"/>
        <v>Qtr1</v>
      </c>
      <c r="D246">
        <f t="shared" si="9"/>
        <v>2026</v>
      </c>
    </row>
    <row r="247" spans="1:4" x14ac:dyDescent="0.35">
      <c r="A247" s="2">
        <v>46084</v>
      </c>
      <c r="B247">
        <v>4167</v>
      </c>
      <c r="C247" t="str">
        <f t="shared" si="8"/>
        <v>Qtr1</v>
      </c>
      <c r="D247">
        <f t="shared" si="9"/>
        <v>2026</v>
      </c>
    </row>
    <row r="248" spans="1:4" x14ac:dyDescent="0.35">
      <c r="A248" s="2">
        <v>46085</v>
      </c>
      <c r="B248">
        <v>260</v>
      </c>
      <c r="C248" t="str">
        <f t="shared" si="8"/>
        <v>Qtr1</v>
      </c>
      <c r="D248">
        <f t="shared" si="9"/>
        <v>2026</v>
      </c>
    </row>
    <row r="249" spans="1:4" x14ac:dyDescent="0.35">
      <c r="A249" s="2">
        <v>46086</v>
      </c>
      <c r="B249">
        <v>4593</v>
      </c>
      <c r="C249" t="str">
        <f t="shared" si="8"/>
        <v>Qtr1</v>
      </c>
      <c r="D249">
        <f t="shared" si="9"/>
        <v>2026</v>
      </c>
    </row>
    <row r="250" spans="1:4" x14ac:dyDescent="0.35">
      <c r="A250" s="2">
        <v>46087</v>
      </c>
      <c r="B250">
        <v>1400</v>
      </c>
      <c r="C250" t="str">
        <f t="shared" si="8"/>
        <v>Qtr1</v>
      </c>
      <c r="D250">
        <f t="shared" si="9"/>
        <v>2026</v>
      </c>
    </row>
    <row r="251" spans="1:4" x14ac:dyDescent="0.35">
      <c r="A251" s="2">
        <v>46088</v>
      </c>
      <c r="B251">
        <v>4087</v>
      </c>
      <c r="C251" t="str">
        <f t="shared" si="8"/>
        <v>Qtr1</v>
      </c>
      <c r="D251">
        <f t="shared" si="9"/>
        <v>2026</v>
      </c>
    </row>
    <row r="252" spans="1:4" x14ac:dyDescent="0.35">
      <c r="A252" s="2">
        <v>46089</v>
      </c>
      <c r="B252">
        <v>1627</v>
      </c>
      <c r="C252" t="str">
        <f t="shared" si="8"/>
        <v>Qtr1</v>
      </c>
      <c r="D252">
        <f t="shared" si="9"/>
        <v>2026</v>
      </c>
    </row>
    <row r="253" spans="1:4" x14ac:dyDescent="0.35">
      <c r="A253" s="2">
        <v>46090</v>
      </c>
      <c r="B253">
        <v>1318</v>
      </c>
      <c r="C253" t="str">
        <f t="shared" si="8"/>
        <v>Qtr1</v>
      </c>
      <c r="D253">
        <f t="shared" si="9"/>
        <v>2026</v>
      </c>
    </row>
    <row r="254" spans="1:4" x14ac:dyDescent="0.35">
      <c r="A254" s="2">
        <v>46091</v>
      </c>
      <c r="B254">
        <v>4596</v>
      </c>
      <c r="C254" t="str">
        <f t="shared" si="8"/>
        <v>Qtr1</v>
      </c>
      <c r="D254">
        <f t="shared" si="9"/>
        <v>2026</v>
      </c>
    </row>
    <row r="255" spans="1:4" x14ac:dyDescent="0.35">
      <c r="A255" s="2">
        <v>46092</v>
      </c>
      <c r="B255">
        <v>4835</v>
      </c>
      <c r="C255" t="str">
        <f t="shared" si="8"/>
        <v>Qtr1</v>
      </c>
      <c r="D255">
        <f t="shared" si="9"/>
        <v>2026</v>
      </c>
    </row>
    <row r="256" spans="1:4" x14ac:dyDescent="0.35">
      <c r="A256" s="2">
        <v>46093</v>
      </c>
      <c r="B256">
        <v>3204</v>
      </c>
      <c r="C256" t="str">
        <f t="shared" si="8"/>
        <v>Qtr1</v>
      </c>
      <c r="D256">
        <f t="shared" si="9"/>
        <v>2026</v>
      </c>
    </row>
    <row r="257" spans="1:4" x14ac:dyDescent="0.35">
      <c r="A257" s="2">
        <v>46094</v>
      </c>
      <c r="B257">
        <v>2835</v>
      </c>
      <c r="C257" t="str">
        <f t="shared" si="8"/>
        <v>Qtr1</v>
      </c>
      <c r="D257">
        <f t="shared" si="9"/>
        <v>2026</v>
      </c>
    </row>
    <row r="258" spans="1:4" x14ac:dyDescent="0.35">
      <c r="A258" s="2">
        <v>46095</v>
      </c>
      <c r="B258">
        <v>4655</v>
      </c>
      <c r="C258" t="str">
        <f t="shared" si="8"/>
        <v>Qtr1</v>
      </c>
      <c r="D258">
        <f t="shared" si="9"/>
        <v>2026</v>
      </c>
    </row>
    <row r="259" spans="1:4" x14ac:dyDescent="0.35">
      <c r="A259" s="2">
        <v>46096</v>
      </c>
      <c r="B259">
        <v>1054</v>
      </c>
      <c r="C259" t="str">
        <f t="shared" ref="C259:C322" si="10" xml:space="preserve"> "Qtr"&amp;ROUND(MONTH(A259)/3,0)</f>
        <v>Qtr1</v>
      </c>
      <c r="D259">
        <f t="shared" ref="D259:D322" si="11">YEAR(A259)</f>
        <v>2026</v>
      </c>
    </row>
    <row r="260" spans="1:4" x14ac:dyDescent="0.35">
      <c r="A260" s="2">
        <v>46097</v>
      </c>
      <c r="B260">
        <v>4665</v>
      </c>
      <c r="C260" t="str">
        <f t="shared" si="10"/>
        <v>Qtr1</v>
      </c>
      <c r="D260">
        <f t="shared" si="11"/>
        <v>2026</v>
      </c>
    </row>
    <row r="261" spans="1:4" x14ac:dyDescent="0.35">
      <c r="A261" s="2">
        <v>46098</v>
      </c>
      <c r="B261">
        <v>3546</v>
      </c>
      <c r="C261" t="str">
        <f t="shared" si="10"/>
        <v>Qtr1</v>
      </c>
      <c r="D261">
        <f t="shared" si="11"/>
        <v>2026</v>
      </c>
    </row>
    <row r="262" spans="1:4" x14ac:dyDescent="0.35">
      <c r="A262" s="2">
        <v>46099</v>
      </c>
      <c r="B262">
        <v>1145</v>
      </c>
      <c r="C262" t="str">
        <f t="shared" si="10"/>
        <v>Qtr1</v>
      </c>
      <c r="D262">
        <f t="shared" si="11"/>
        <v>2026</v>
      </c>
    </row>
    <row r="263" spans="1:4" x14ac:dyDescent="0.35">
      <c r="A263" s="2">
        <v>46100</v>
      </c>
      <c r="B263">
        <v>1793</v>
      </c>
      <c r="C263" t="str">
        <f t="shared" si="10"/>
        <v>Qtr1</v>
      </c>
      <c r="D263">
        <f t="shared" si="11"/>
        <v>2026</v>
      </c>
    </row>
    <row r="264" spans="1:4" x14ac:dyDescent="0.35">
      <c r="A264" s="2">
        <v>46101</v>
      </c>
      <c r="B264">
        <v>3536</v>
      </c>
      <c r="C264" t="str">
        <f t="shared" si="10"/>
        <v>Qtr1</v>
      </c>
      <c r="D264">
        <f t="shared" si="11"/>
        <v>2026</v>
      </c>
    </row>
    <row r="265" spans="1:4" x14ac:dyDescent="0.35">
      <c r="A265" s="2">
        <v>46102</v>
      </c>
      <c r="B265">
        <v>662</v>
      </c>
      <c r="C265" t="str">
        <f t="shared" si="10"/>
        <v>Qtr1</v>
      </c>
      <c r="D265">
        <f t="shared" si="11"/>
        <v>2026</v>
      </c>
    </row>
    <row r="266" spans="1:4" x14ac:dyDescent="0.35">
      <c r="A266" s="2">
        <v>46103</v>
      </c>
      <c r="B266">
        <v>2585</v>
      </c>
      <c r="C266" t="str">
        <f t="shared" si="10"/>
        <v>Qtr1</v>
      </c>
      <c r="D266">
        <f t="shared" si="11"/>
        <v>2026</v>
      </c>
    </row>
    <row r="267" spans="1:4" x14ac:dyDescent="0.35">
      <c r="A267" s="2">
        <v>46104</v>
      </c>
      <c r="B267">
        <v>3454</v>
      </c>
      <c r="C267" t="str">
        <f t="shared" si="10"/>
        <v>Qtr1</v>
      </c>
      <c r="D267">
        <f t="shared" si="11"/>
        <v>2026</v>
      </c>
    </row>
    <row r="268" spans="1:4" x14ac:dyDescent="0.35">
      <c r="A268" s="2">
        <v>46105</v>
      </c>
      <c r="B268">
        <v>325</v>
      </c>
      <c r="C268" t="str">
        <f t="shared" si="10"/>
        <v>Qtr1</v>
      </c>
      <c r="D268">
        <f t="shared" si="11"/>
        <v>2026</v>
      </c>
    </row>
    <row r="269" spans="1:4" x14ac:dyDescent="0.35">
      <c r="A269" s="2">
        <v>46106</v>
      </c>
      <c r="B269">
        <v>4993</v>
      </c>
      <c r="C269" t="str">
        <f t="shared" si="10"/>
        <v>Qtr1</v>
      </c>
      <c r="D269">
        <f t="shared" si="11"/>
        <v>2026</v>
      </c>
    </row>
    <row r="270" spans="1:4" x14ac:dyDescent="0.35">
      <c r="A270" s="2">
        <v>46107</v>
      </c>
      <c r="B270">
        <v>1059</v>
      </c>
      <c r="C270" t="str">
        <f t="shared" si="10"/>
        <v>Qtr1</v>
      </c>
      <c r="D270">
        <f t="shared" si="11"/>
        <v>2026</v>
      </c>
    </row>
    <row r="271" spans="1:4" x14ac:dyDescent="0.35">
      <c r="A271" s="2">
        <v>46108</v>
      </c>
      <c r="B271">
        <v>4648</v>
      </c>
      <c r="C271" t="str">
        <f t="shared" si="10"/>
        <v>Qtr1</v>
      </c>
      <c r="D271">
        <f t="shared" si="11"/>
        <v>2026</v>
      </c>
    </row>
    <row r="272" spans="1:4" x14ac:dyDescent="0.35">
      <c r="A272" s="2">
        <v>46109</v>
      </c>
      <c r="B272">
        <v>3167</v>
      </c>
      <c r="C272" t="str">
        <f t="shared" si="10"/>
        <v>Qtr1</v>
      </c>
      <c r="D272">
        <f t="shared" si="11"/>
        <v>2026</v>
      </c>
    </row>
    <row r="273" spans="1:4" x14ac:dyDescent="0.35">
      <c r="A273" s="2">
        <v>46110</v>
      </c>
      <c r="B273">
        <v>915</v>
      </c>
      <c r="C273" t="str">
        <f t="shared" si="10"/>
        <v>Qtr1</v>
      </c>
      <c r="D273">
        <f t="shared" si="11"/>
        <v>2026</v>
      </c>
    </row>
    <row r="274" spans="1:4" x14ac:dyDescent="0.35">
      <c r="A274" s="2">
        <v>46111</v>
      </c>
      <c r="B274">
        <v>4854</v>
      </c>
      <c r="C274" t="str">
        <f t="shared" si="10"/>
        <v>Qtr1</v>
      </c>
      <c r="D274">
        <f t="shared" si="11"/>
        <v>2026</v>
      </c>
    </row>
    <row r="275" spans="1:4" x14ac:dyDescent="0.35">
      <c r="A275" s="2">
        <v>46112</v>
      </c>
      <c r="B275">
        <v>4742</v>
      </c>
      <c r="C275" t="str">
        <f t="shared" si="10"/>
        <v>Qtr1</v>
      </c>
      <c r="D275">
        <f t="shared" si="11"/>
        <v>2026</v>
      </c>
    </row>
    <row r="276" spans="1:4" x14ac:dyDescent="0.35">
      <c r="A276" s="2">
        <v>46113</v>
      </c>
      <c r="B276">
        <v>3220</v>
      </c>
      <c r="C276" t="str">
        <f t="shared" si="10"/>
        <v>Qtr1</v>
      </c>
      <c r="D276">
        <f t="shared" si="11"/>
        <v>2026</v>
      </c>
    </row>
    <row r="277" spans="1:4" x14ac:dyDescent="0.35">
      <c r="A277" s="2">
        <v>46114</v>
      </c>
      <c r="B277">
        <v>116</v>
      </c>
      <c r="C277" t="str">
        <f t="shared" si="10"/>
        <v>Qtr1</v>
      </c>
      <c r="D277">
        <f t="shared" si="11"/>
        <v>2026</v>
      </c>
    </row>
    <row r="278" spans="1:4" x14ac:dyDescent="0.35">
      <c r="A278" s="2">
        <v>46115</v>
      </c>
      <c r="B278">
        <v>1343</v>
      </c>
      <c r="C278" t="str">
        <f t="shared" si="10"/>
        <v>Qtr1</v>
      </c>
      <c r="D278">
        <f t="shared" si="11"/>
        <v>2026</v>
      </c>
    </row>
    <row r="279" spans="1:4" x14ac:dyDescent="0.35">
      <c r="A279" s="2">
        <v>46116</v>
      </c>
      <c r="B279">
        <v>2305</v>
      </c>
      <c r="C279" t="str">
        <f t="shared" si="10"/>
        <v>Qtr1</v>
      </c>
      <c r="D279">
        <f t="shared" si="11"/>
        <v>2026</v>
      </c>
    </row>
    <row r="280" spans="1:4" x14ac:dyDescent="0.35">
      <c r="A280" s="2">
        <v>46117</v>
      </c>
      <c r="B280">
        <v>2624</v>
      </c>
      <c r="C280" t="str">
        <f t="shared" si="10"/>
        <v>Qtr1</v>
      </c>
      <c r="D280">
        <f t="shared" si="11"/>
        <v>2026</v>
      </c>
    </row>
    <row r="281" spans="1:4" x14ac:dyDescent="0.35">
      <c r="A281" s="2">
        <v>46118</v>
      </c>
      <c r="B281">
        <v>1169</v>
      </c>
      <c r="C281" t="str">
        <f t="shared" si="10"/>
        <v>Qtr1</v>
      </c>
      <c r="D281">
        <f t="shared" si="11"/>
        <v>2026</v>
      </c>
    </row>
    <row r="282" spans="1:4" x14ac:dyDescent="0.35">
      <c r="A282" s="2">
        <v>46119</v>
      </c>
      <c r="B282">
        <v>3544</v>
      </c>
      <c r="C282" t="str">
        <f t="shared" si="10"/>
        <v>Qtr1</v>
      </c>
      <c r="D282">
        <f t="shared" si="11"/>
        <v>2026</v>
      </c>
    </row>
    <row r="283" spans="1:4" x14ac:dyDescent="0.35">
      <c r="A283" s="2">
        <v>46120</v>
      </c>
      <c r="B283">
        <v>2665</v>
      </c>
      <c r="C283" t="str">
        <f t="shared" si="10"/>
        <v>Qtr1</v>
      </c>
      <c r="D283">
        <f t="shared" si="11"/>
        <v>2026</v>
      </c>
    </row>
    <row r="284" spans="1:4" x14ac:dyDescent="0.35">
      <c r="A284" s="2">
        <v>46121</v>
      </c>
      <c r="B284">
        <v>1160</v>
      </c>
      <c r="C284" t="str">
        <f t="shared" si="10"/>
        <v>Qtr1</v>
      </c>
      <c r="D284">
        <f t="shared" si="11"/>
        <v>2026</v>
      </c>
    </row>
    <row r="285" spans="1:4" x14ac:dyDescent="0.35">
      <c r="A285" s="2">
        <v>46122</v>
      </c>
      <c r="B285">
        <v>2427</v>
      </c>
      <c r="C285" t="str">
        <f t="shared" si="10"/>
        <v>Qtr1</v>
      </c>
      <c r="D285">
        <f t="shared" si="11"/>
        <v>2026</v>
      </c>
    </row>
    <row r="286" spans="1:4" x14ac:dyDescent="0.35">
      <c r="A286" s="2">
        <v>46123</v>
      </c>
      <c r="B286">
        <v>3520</v>
      </c>
      <c r="C286" t="str">
        <f t="shared" si="10"/>
        <v>Qtr1</v>
      </c>
      <c r="D286">
        <f t="shared" si="11"/>
        <v>2026</v>
      </c>
    </row>
    <row r="287" spans="1:4" x14ac:dyDescent="0.35">
      <c r="A287" s="2">
        <v>46124</v>
      </c>
      <c r="B287">
        <v>401</v>
      </c>
      <c r="C287" t="str">
        <f t="shared" si="10"/>
        <v>Qtr1</v>
      </c>
      <c r="D287">
        <f t="shared" si="11"/>
        <v>2026</v>
      </c>
    </row>
    <row r="288" spans="1:4" x14ac:dyDescent="0.35">
      <c r="A288" s="2">
        <v>46125</v>
      </c>
      <c r="B288">
        <v>4376</v>
      </c>
      <c r="C288" t="str">
        <f t="shared" si="10"/>
        <v>Qtr1</v>
      </c>
      <c r="D288">
        <f t="shared" si="11"/>
        <v>2026</v>
      </c>
    </row>
    <row r="289" spans="1:4" x14ac:dyDescent="0.35">
      <c r="A289" s="2">
        <v>46126</v>
      </c>
      <c r="B289">
        <v>706</v>
      </c>
      <c r="C289" t="str">
        <f t="shared" si="10"/>
        <v>Qtr1</v>
      </c>
      <c r="D289">
        <f t="shared" si="11"/>
        <v>2026</v>
      </c>
    </row>
    <row r="290" spans="1:4" x14ac:dyDescent="0.35">
      <c r="A290" s="2">
        <v>46127</v>
      </c>
      <c r="B290">
        <v>3270</v>
      </c>
      <c r="C290" t="str">
        <f t="shared" si="10"/>
        <v>Qtr1</v>
      </c>
      <c r="D290">
        <f t="shared" si="11"/>
        <v>2026</v>
      </c>
    </row>
    <row r="291" spans="1:4" x14ac:dyDescent="0.35">
      <c r="A291" s="2">
        <v>46128</v>
      </c>
      <c r="B291">
        <v>799</v>
      </c>
      <c r="C291" t="str">
        <f t="shared" si="10"/>
        <v>Qtr1</v>
      </c>
      <c r="D291">
        <f t="shared" si="11"/>
        <v>2026</v>
      </c>
    </row>
    <row r="292" spans="1:4" x14ac:dyDescent="0.35">
      <c r="A292" s="2">
        <v>46129</v>
      </c>
      <c r="B292">
        <v>1239</v>
      </c>
      <c r="C292" t="str">
        <f t="shared" si="10"/>
        <v>Qtr1</v>
      </c>
      <c r="D292">
        <f t="shared" si="11"/>
        <v>2026</v>
      </c>
    </row>
    <row r="293" spans="1:4" x14ac:dyDescent="0.35">
      <c r="A293" s="2">
        <v>46130</v>
      </c>
      <c r="B293">
        <v>290</v>
      </c>
      <c r="C293" t="str">
        <f t="shared" si="10"/>
        <v>Qtr1</v>
      </c>
      <c r="D293">
        <f t="shared" si="11"/>
        <v>2026</v>
      </c>
    </row>
    <row r="294" spans="1:4" x14ac:dyDescent="0.35">
      <c r="A294" s="2">
        <v>46131</v>
      </c>
      <c r="B294">
        <v>2400</v>
      </c>
      <c r="C294" t="str">
        <f t="shared" si="10"/>
        <v>Qtr1</v>
      </c>
      <c r="D294">
        <f t="shared" si="11"/>
        <v>2026</v>
      </c>
    </row>
    <row r="295" spans="1:4" x14ac:dyDescent="0.35">
      <c r="A295" s="2">
        <v>46132</v>
      </c>
      <c r="B295">
        <v>1080</v>
      </c>
      <c r="C295" t="str">
        <f t="shared" si="10"/>
        <v>Qtr1</v>
      </c>
      <c r="D295">
        <f t="shared" si="11"/>
        <v>2026</v>
      </c>
    </row>
    <row r="296" spans="1:4" x14ac:dyDescent="0.35">
      <c r="A296" s="2">
        <v>46133</v>
      </c>
      <c r="B296">
        <v>3075</v>
      </c>
      <c r="C296" t="str">
        <f t="shared" si="10"/>
        <v>Qtr1</v>
      </c>
      <c r="D296">
        <f t="shared" si="11"/>
        <v>2026</v>
      </c>
    </row>
    <row r="297" spans="1:4" x14ac:dyDescent="0.35">
      <c r="A297" s="2">
        <v>46134</v>
      </c>
      <c r="B297">
        <v>1284</v>
      </c>
      <c r="C297" t="str">
        <f t="shared" si="10"/>
        <v>Qtr1</v>
      </c>
      <c r="D297">
        <f t="shared" si="11"/>
        <v>2026</v>
      </c>
    </row>
    <row r="298" spans="1:4" x14ac:dyDescent="0.35">
      <c r="A298" s="2">
        <v>46135</v>
      </c>
      <c r="B298">
        <v>3427</v>
      </c>
      <c r="C298" t="str">
        <f t="shared" si="10"/>
        <v>Qtr1</v>
      </c>
      <c r="D298">
        <f t="shared" si="11"/>
        <v>2026</v>
      </c>
    </row>
    <row r="299" spans="1:4" x14ac:dyDescent="0.35">
      <c r="A299" s="2">
        <v>46136</v>
      </c>
      <c r="B299">
        <v>3494</v>
      </c>
      <c r="C299" t="str">
        <f t="shared" si="10"/>
        <v>Qtr1</v>
      </c>
      <c r="D299">
        <f t="shared" si="11"/>
        <v>2026</v>
      </c>
    </row>
    <row r="300" spans="1:4" x14ac:dyDescent="0.35">
      <c r="A300" s="2">
        <v>46137</v>
      </c>
      <c r="B300">
        <v>227</v>
      </c>
      <c r="C300" t="str">
        <f t="shared" si="10"/>
        <v>Qtr1</v>
      </c>
      <c r="D300">
        <f t="shared" si="11"/>
        <v>2026</v>
      </c>
    </row>
    <row r="301" spans="1:4" x14ac:dyDescent="0.35">
      <c r="A301" s="2">
        <v>46138</v>
      </c>
      <c r="B301">
        <v>2165</v>
      </c>
      <c r="C301" t="str">
        <f t="shared" si="10"/>
        <v>Qtr1</v>
      </c>
      <c r="D301">
        <f t="shared" si="11"/>
        <v>2026</v>
      </c>
    </row>
    <row r="302" spans="1:4" x14ac:dyDescent="0.35">
      <c r="A302" s="2">
        <v>46139</v>
      </c>
      <c r="B302">
        <v>1916</v>
      </c>
      <c r="C302" t="str">
        <f t="shared" si="10"/>
        <v>Qtr1</v>
      </c>
      <c r="D302">
        <f t="shared" si="11"/>
        <v>2026</v>
      </c>
    </row>
    <row r="303" spans="1:4" x14ac:dyDescent="0.35">
      <c r="A303" s="2">
        <v>46140</v>
      </c>
      <c r="B303">
        <v>669</v>
      </c>
      <c r="C303" t="str">
        <f t="shared" si="10"/>
        <v>Qtr1</v>
      </c>
      <c r="D303">
        <f t="shared" si="11"/>
        <v>2026</v>
      </c>
    </row>
    <row r="304" spans="1:4" x14ac:dyDescent="0.35">
      <c r="A304" s="2">
        <v>46141</v>
      </c>
      <c r="B304">
        <v>1995</v>
      </c>
      <c r="C304" t="str">
        <f t="shared" si="10"/>
        <v>Qtr1</v>
      </c>
      <c r="D304">
        <f t="shared" si="11"/>
        <v>2026</v>
      </c>
    </row>
    <row r="305" spans="1:4" x14ac:dyDescent="0.35">
      <c r="A305" s="2">
        <v>46142</v>
      </c>
      <c r="B305">
        <v>2833</v>
      </c>
      <c r="C305" t="str">
        <f t="shared" si="10"/>
        <v>Qtr1</v>
      </c>
      <c r="D305">
        <f t="shared" si="11"/>
        <v>2026</v>
      </c>
    </row>
    <row r="306" spans="1:4" x14ac:dyDescent="0.35">
      <c r="A306" s="2">
        <v>46143</v>
      </c>
      <c r="B306">
        <v>3963</v>
      </c>
      <c r="C306" t="str">
        <f t="shared" si="10"/>
        <v>Qtr2</v>
      </c>
      <c r="D306">
        <f t="shared" si="11"/>
        <v>2026</v>
      </c>
    </row>
    <row r="307" spans="1:4" x14ac:dyDescent="0.35">
      <c r="A307" s="2">
        <v>46144</v>
      </c>
      <c r="B307">
        <v>4821</v>
      </c>
      <c r="C307" t="str">
        <f t="shared" si="10"/>
        <v>Qtr2</v>
      </c>
      <c r="D307">
        <f t="shared" si="11"/>
        <v>2026</v>
      </c>
    </row>
    <row r="308" spans="1:4" x14ac:dyDescent="0.35">
      <c r="A308" s="2">
        <v>46145</v>
      </c>
      <c r="B308">
        <v>4114</v>
      </c>
      <c r="C308" t="str">
        <f t="shared" si="10"/>
        <v>Qtr2</v>
      </c>
      <c r="D308">
        <f t="shared" si="11"/>
        <v>2026</v>
      </c>
    </row>
    <row r="309" spans="1:4" x14ac:dyDescent="0.35">
      <c r="A309" s="2">
        <v>46146</v>
      </c>
      <c r="B309">
        <v>3001</v>
      </c>
      <c r="C309" t="str">
        <f t="shared" si="10"/>
        <v>Qtr2</v>
      </c>
      <c r="D309">
        <f t="shared" si="11"/>
        <v>2026</v>
      </c>
    </row>
    <row r="310" spans="1:4" x14ac:dyDescent="0.35">
      <c r="A310" s="2">
        <v>46147</v>
      </c>
      <c r="B310">
        <v>1786</v>
      </c>
      <c r="C310" t="str">
        <f t="shared" si="10"/>
        <v>Qtr2</v>
      </c>
      <c r="D310">
        <f t="shared" si="11"/>
        <v>2026</v>
      </c>
    </row>
    <row r="311" spans="1:4" x14ac:dyDescent="0.35">
      <c r="A311" s="2">
        <v>46148</v>
      </c>
      <c r="B311">
        <v>3109</v>
      </c>
      <c r="C311" t="str">
        <f t="shared" si="10"/>
        <v>Qtr2</v>
      </c>
      <c r="D311">
        <f t="shared" si="11"/>
        <v>2026</v>
      </c>
    </row>
    <row r="312" spans="1:4" x14ac:dyDescent="0.35">
      <c r="A312" s="2">
        <v>46149</v>
      </c>
      <c r="B312">
        <v>254</v>
      </c>
      <c r="C312" t="str">
        <f t="shared" si="10"/>
        <v>Qtr2</v>
      </c>
      <c r="D312">
        <f t="shared" si="11"/>
        <v>2026</v>
      </c>
    </row>
    <row r="313" spans="1:4" x14ac:dyDescent="0.35">
      <c r="A313" s="2">
        <v>46150</v>
      </c>
      <c r="B313">
        <v>2637</v>
      </c>
      <c r="C313" t="str">
        <f t="shared" si="10"/>
        <v>Qtr2</v>
      </c>
      <c r="D313">
        <f t="shared" si="11"/>
        <v>2026</v>
      </c>
    </row>
    <row r="314" spans="1:4" x14ac:dyDescent="0.35">
      <c r="A314" s="2">
        <v>46151</v>
      </c>
      <c r="B314">
        <v>1509</v>
      </c>
      <c r="C314" t="str">
        <f t="shared" si="10"/>
        <v>Qtr2</v>
      </c>
      <c r="D314">
        <f t="shared" si="11"/>
        <v>2026</v>
      </c>
    </row>
    <row r="315" spans="1:4" x14ac:dyDescent="0.35">
      <c r="A315" s="2">
        <v>46152</v>
      </c>
      <c r="B315">
        <v>4157</v>
      </c>
      <c r="C315" t="str">
        <f t="shared" si="10"/>
        <v>Qtr2</v>
      </c>
      <c r="D315">
        <f t="shared" si="11"/>
        <v>2026</v>
      </c>
    </row>
    <row r="316" spans="1:4" x14ac:dyDescent="0.35">
      <c r="A316" s="2">
        <v>46153</v>
      </c>
      <c r="B316">
        <v>884</v>
      </c>
      <c r="C316" t="str">
        <f t="shared" si="10"/>
        <v>Qtr2</v>
      </c>
      <c r="D316">
        <f t="shared" si="11"/>
        <v>2026</v>
      </c>
    </row>
    <row r="317" spans="1:4" x14ac:dyDescent="0.35">
      <c r="A317" s="2">
        <v>46154</v>
      </c>
      <c r="B317">
        <v>3275</v>
      </c>
      <c r="C317" t="str">
        <f t="shared" si="10"/>
        <v>Qtr2</v>
      </c>
      <c r="D317">
        <f t="shared" si="11"/>
        <v>2026</v>
      </c>
    </row>
    <row r="318" spans="1:4" x14ac:dyDescent="0.35">
      <c r="A318" s="2">
        <v>46155</v>
      </c>
      <c r="B318">
        <v>4441</v>
      </c>
      <c r="C318" t="str">
        <f t="shared" si="10"/>
        <v>Qtr2</v>
      </c>
      <c r="D318">
        <f t="shared" si="11"/>
        <v>2026</v>
      </c>
    </row>
    <row r="319" spans="1:4" x14ac:dyDescent="0.35">
      <c r="A319" s="2">
        <v>46156</v>
      </c>
      <c r="B319">
        <v>2906</v>
      </c>
      <c r="C319" t="str">
        <f t="shared" si="10"/>
        <v>Qtr2</v>
      </c>
      <c r="D319">
        <f t="shared" si="11"/>
        <v>2026</v>
      </c>
    </row>
    <row r="320" spans="1:4" x14ac:dyDescent="0.35">
      <c r="A320" s="2">
        <v>46157</v>
      </c>
      <c r="B320">
        <v>637</v>
      </c>
      <c r="C320" t="str">
        <f t="shared" si="10"/>
        <v>Qtr2</v>
      </c>
      <c r="D320">
        <f t="shared" si="11"/>
        <v>2026</v>
      </c>
    </row>
    <row r="321" spans="1:4" x14ac:dyDescent="0.35">
      <c r="A321" s="2">
        <v>46158</v>
      </c>
      <c r="B321">
        <v>1941</v>
      </c>
      <c r="C321" t="str">
        <f t="shared" si="10"/>
        <v>Qtr2</v>
      </c>
      <c r="D321">
        <f t="shared" si="11"/>
        <v>2026</v>
      </c>
    </row>
    <row r="322" spans="1:4" x14ac:dyDescent="0.35">
      <c r="A322" s="2">
        <v>46159</v>
      </c>
      <c r="B322">
        <v>2555</v>
      </c>
      <c r="C322" t="str">
        <f t="shared" si="10"/>
        <v>Qtr2</v>
      </c>
      <c r="D322">
        <f t="shared" si="11"/>
        <v>2026</v>
      </c>
    </row>
    <row r="323" spans="1:4" x14ac:dyDescent="0.35">
      <c r="A323" s="2">
        <v>46160</v>
      </c>
      <c r="B323">
        <v>624</v>
      </c>
      <c r="C323" t="str">
        <f t="shared" ref="C323:C386" si="12" xml:space="preserve"> "Qtr"&amp;ROUND(MONTH(A323)/3,0)</f>
        <v>Qtr2</v>
      </c>
      <c r="D323">
        <f t="shared" ref="D323:D386" si="13">YEAR(A323)</f>
        <v>2026</v>
      </c>
    </row>
    <row r="324" spans="1:4" x14ac:dyDescent="0.35">
      <c r="A324" s="2">
        <v>46161</v>
      </c>
      <c r="B324">
        <v>3050</v>
      </c>
      <c r="C324" t="str">
        <f t="shared" si="12"/>
        <v>Qtr2</v>
      </c>
      <c r="D324">
        <f t="shared" si="13"/>
        <v>2026</v>
      </c>
    </row>
    <row r="325" spans="1:4" x14ac:dyDescent="0.35">
      <c r="A325" s="2">
        <v>46162</v>
      </c>
      <c r="B325">
        <v>4231</v>
      </c>
      <c r="C325" t="str">
        <f t="shared" si="12"/>
        <v>Qtr2</v>
      </c>
      <c r="D325">
        <f t="shared" si="13"/>
        <v>2026</v>
      </c>
    </row>
    <row r="326" spans="1:4" x14ac:dyDescent="0.35">
      <c r="A326" s="2">
        <v>46163</v>
      </c>
      <c r="B326">
        <v>4880</v>
      </c>
      <c r="C326" t="str">
        <f t="shared" si="12"/>
        <v>Qtr2</v>
      </c>
      <c r="D326">
        <f t="shared" si="13"/>
        <v>2026</v>
      </c>
    </row>
    <row r="327" spans="1:4" x14ac:dyDescent="0.35">
      <c r="A327" s="2">
        <v>46164</v>
      </c>
      <c r="B327">
        <v>4215</v>
      </c>
      <c r="C327" t="str">
        <f t="shared" si="12"/>
        <v>Qtr2</v>
      </c>
      <c r="D327">
        <f t="shared" si="13"/>
        <v>2026</v>
      </c>
    </row>
    <row r="328" spans="1:4" x14ac:dyDescent="0.35">
      <c r="A328" s="2">
        <v>46165</v>
      </c>
      <c r="B328">
        <v>2468</v>
      </c>
      <c r="C328" t="str">
        <f t="shared" si="12"/>
        <v>Qtr2</v>
      </c>
      <c r="D328">
        <f t="shared" si="13"/>
        <v>2026</v>
      </c>
    </row>
    <row r="329" spans="1:4" x14ac:dyDescent="0.35">
      <c r="A329" s="2">
        <v>46166</v>
      </c>
      <c r="B329">
        <v>3947</v>
      </c>
      <c r="C329" t="str">
        <f t="shared" si="12"/>
        <v>Qtr2</v>
      </c>
      <c r="D329">
        <f t="shared" si="13"/>
        <v>2026</v>
      </c>
    </row>
    <row r="330" spans="1:4" x14ac:dyDescent="0.35">
      <c r="A330" s="2">
        <v>46167</v>
      </c>
      <c r="B330">
        <v>4595</v>
      </c>
      <c r="C330" t="str">
        <f t="shared" si="12"/>
        <v>Qtr2</v>
      </c>
      <c r="D330">
        <f t="shared" si="13"/>
        <v>2026</v>
      </c>
    </row>
    <row r="331" spans="1:4" x14ac:dyDescent="0.35">
      <c r="A331" s="2">
        <v>46168</v>
      </c>
      <c r="B331">
        <v>2801</v>
      </c>
      <c r="C331" t="str">
        <f t="shared" si="12"/>
        <v>Qtr2</v>
      </c>
      <c r="D331">
        <f t="shared" si="13"/>
        <v>2026</v>
      </c>
    </row>
    <row r="332" spans="1:4" x14ac:dyDescent="0.35">
      <c r="A332" s="2">
        <v>46169</v>
      </c>
      <c r="B332">
        <v>1071</v>
      </c>
      <c r="C332" t="str">
        <f t="shared" si="12"/>
        <v>Qtr2</v>
      </c>
      <c r="D332">
        <f t="shared" si="13"/>
        <v>2026</v>
      </c>
    </row>
    <row r="333" spans="1:4" x14ac:dyDescent="0.35">
      <c r="A333" s="2">
        <v>46170</v>
      </c>
      <c r="B333">
        <v>1266</v>
      </c>
      <c r="C333" t="str">
        <f t="shared" si="12"/>
        <v>Qtr2</v>
      </c>
      <c r="D333">
        <f t="shared" si="13"/>
        <v>2026</v>
      </c>
    </row>
    <row r="334" spans="1:4" x14ac:dyDescent="0.35">
      <c r="A334" s="2">
        <v>46171</v>
      </c>
      <c r="B334">
        <v>2874</v>
      </c>
      <c r="C334" t="str">
        <f t="shared" si="12"/>
        <v>Qtr2</v>
      </c>
      <c r="D334">
        <f t="shared" si="13"/>
        <v>2026</v>
      </c>
    </row>
    <row r="335" spans="1:4" x14ac:dyDescent="0.35">
      <c r="A335" s="2">
        <v>46172</v>
      </c>
      <c r="B335">
        <v>2082</v>
      </c>
      <c r="C335" t="str">
        <f t="shared" si="12"/>
        <v>Qtr2</v>
      </c>
      <c r="D335">
        <f t="shared" si="13"/>
        <v>2026</v>
      </c>
    </row>
    <row r="336" spans="1:4" x14ac:dyDescent="0.35">
      <c r="A336" s="2">
        <v>46173</v>
      </c>
      <c r="B336">
        <v>953</v>
      </c>
      <c r="C336" t="str">
        <f t="shared" si="12"/>
        <v>Qtr2</v>
      </c>
      <c r="D336">
        <f t="shared" si="13"/>
        <v>2026</v>
      </c>
    </row>
    <row r="337" spans="1:4" x14ac:dyDescent="0.35">
      <c r="A337" s="2">
        <v>46174</v>
      </c>
      <c r="B337">
        <v>4246</v>
      </c>
      <c r="C337" t="str">
        <f t="shared" si="12"/>
        <v>Qtr2</v>
      </c>
      <c r="D337">
        <f t="shared" si="13"/>
        <v>2026</v>
      </c>
    </row>
    <row r="338" spans="1:4" x14ac:dyDescent="0.35">
      <c r="A338" s="2">
        <v>46175</v>
      </c>
      <c r="B338">
        <v>3836</v>
      </c>
      <c r="C338" t="str">
        <f t="shared" si="12"/>
        <v>Qtr2</v>
      </c>
      <c r="D338">
        <f t="shared" si="13"/>
        <v>2026</v>
      </c>
    </row>
    <row r="339" spans="1:4" x14ac:dyDescent="0.35">
      <c r="A339" s="2">
        <v>46176</v>
      </c>
      <c r="B339">
        <v>3869</v>
      </c>
      <c r="C339" t="str">
        <f t="shared" si="12"/>
        <v>Qtr2</v>
      </c>
      <c r="D339">
        <f t="shared" si="13"/>
        <v>2026</v>
      </c>
    </row>
    <row r="340" spans="1:4" x14ac:dyDescent="0.35">
      <c r="A340" s="2">
        <v>46177</v>
      </c>
      <c r="B340">
        <v>674</v>
      </c>
      <c r="C340" t="str">
        <f t="shared" si="12"/>
        <v>Qtr2</v>
      </c>
      <c r="D340">
        <f t="shared" si="13"/>
        <v>2026</v>
      </c>
    </row>
    <row r="341" spans="1:4" x14ac:dyDescent="0.35">
      <c r="A341" s="2">
        <v>46178</v>
      </c>
      <c r="B341">
        <v>3361</v>
      </c>
      <c r="C341" t="str">
        <f t="shared" si="12"/>
        <v>Qtr2</v>
      </c>
      <c r="D341">
        <f t="shared" si="13"/>
        <v>2026</v>
      </c>
    </row>
    <row r="342" spans="1:4" x14ac:dyDescent="0.35">
      <c r="A342" s="2">
        <v>46179</v>
      </c>
      <c r="B342">
        <v>1248</v>
      </c>
      <c r="C342" t="str">
        <f t="shared" si="12"/>
        <v>Qtr2</v>
      </c>
      <c r="D342">
        <f t="shared" si="13"/>
        <v>2026</v>
      </c>
    </row>
    <row r="343" spans="1:4" x14ac:dyDescent="0.35">
      <c r="A343" s="2">
        <v>46180</v>
      </c>
      <c r="B343">
        <v>1815</v>
      </c>
      <c r="C343" t="str">
        <f t="shared" si="12"/>
        <v>Qtr2</v>
      </c>
      <c r="D343">
        <f t="shared" si="13"/>
        <v>2026</v>
      </c>
    </row>
    <row r="344" spans="1:4" x14ac:dyDescent="0.35">
      <c r="A344" s="2">
        <v>46181</v>
      </c>
      <c r="B344">
        <v>4877</v>
      </c>
      <c r="C344" t="str">
        <f t="shared" si="12"/>
        <v>Qtr2</v>
      </c>
      <c r="D344">
        <f t="shared" si="13"/>
        <v>2026</v>
      </c>
    </row>
    <row r="345" spans="1:4" x14ac:dyDescent="0.35">
      <c r="A345" s="2">
        <v>46182</v>
      </c>
      <c r="B345">
        <v>3954</v>
      </c>
      <c r="C345" t="str">
        <f t="shared" si="12"/>
        <v>Qtr2</v>
      </c>
      <c r="D345">
        <f t="shared" si="13"/>
        <v>2026</v>
      </c>
    </row>
    <row r="346" spans="1:4" x14ac:dyDescent="0.35">
      <c r="A346" s="2">
        <v>46183</v>
      </c>
      <c r="B346">
        <v>2591</v>
      </c>
      <c r="C346" t="str">
        <f t="shared" si="12"/>
        <v>Qtr2</v>
      </c>
      <c r="D346">
        <f t="shared" si="13"/>
        <v>2026</v>
      </c>
    </row>
    <row r="347" spans="1:4" x14ac:dyDescent="0.35">
      <c r="A347" s="2">
        <v>46184</v>
      </c>
      <c r="B347">
        <v>2760</v>
      </c>
      <c r="C347" t="str">
        <f t="shared" si="12"/>
        <v>Qtr2</v>
      </c>
      <c r="D347">
        <f t="shared" si="13"/>
        <v>2026</v>
      </c>
    </row>
    <row r="348" spans="1:4" x14ac:dyDescent="0.35">
      <c r="A348" s="2">
        <v>46185</v>
      </c>
      <c r="B348">
        <v>3224</v>
      </c>
      <c r="C348" t="str">
        <f t="shared" si="12"/>
        <v>Qtr2</v>
      </c>
      <c r="D348">
        <f t="shared" si="13"/>
        <v>2026</v>
      </c>
    </row>
    <row r="349" spans="1:4" x14ac:dyDescent="0.35">
      <c r="A349" s="2">
        <v>46186</v>
      </c>
      <c r="B349">
        <v>3151</v>
      </c>
      <c r="C349" t="str">
        <f t="shared" si="12"/>
        <v>Qtr2</v>
      </c>
      <c r="D349">
        <f t="shared" si="13"/>
        <v>2026</v>
      </c>
    </row>
    <row r="350" spans="1:4" x14ac:dyDescent="0.35">
      <c r="A350" s="2">
        <v>46187</v>
      </c>
      <c r="B350">
        <v>104</v>
      </c>
      <c r="C350" t="str">
        <f t="shared" si="12"/>
        <v>Qtr2</v>
      </c>
      <c r="D350">
        <f t="shared" si="13"/>
        <v>2026</v>
      </c>
    </row>
    <row r="351" spans="1:4" x14ac:dyDescent="0.35">
      <c r="A351" s="2">
        <v>46188</v>
      </c>
      <c r="B351">
        <v>4969</v>
      </c>
      <c r="C351" t="str">
        <f t="shared" si="12"/>
        <v>Qtr2</v>
      </c>
      <c r="D351">
        <f t="shared" si="13"/>
        <v>2026</v>
      </c>
    </row>
    <row r="352" spans="1:4" x14ac:dyDescent="0.35">
      <c r="A352" s="2">
        <v>46189</v>
      </c>
      <c r="B352">
        <v>976</v>
      </c>
      <c r="C352" t="str">
        <f t="shared" si="12"/>
        <v>Qtr2</v>
      </c>
      <c r="D352">
        <f t="shared" si="13"/>
        <v>2026</v>
      </c>
    </row>
    <row r="353" spans="1:4" x14ac:dyDescent="0.35">
      <c r="A353" s="2">
        <v>46190</v>
      </c>
      <c r="B353">
        <v>1091</v>
      </c>
      <c r="C353" t="str">
        <f t="shared" si="12"/>
        <v>Qtr2</v>
      </c>
      <c r="D353">
        <f t="shared" si="13"/>
        <v>2026</v>
      </c>
    </row>
    <row r="354" spans="1:4" x14ac:dyDescent="0.35">
      <c r="A354" s="2">
        <v>46191</v>
      </c>
      <c r="B354">
        <v>4242</v>
      </c>
      <c r="C354" t="str">
        <f t="shared" si="12"/>
        <v>Qtr2</v>
      </c>
      <c r="D354">
        <f t="shared" si="13"/>
        <v>2026</v>
      </c>
    </row>
    <row r="355" spans="1:4" x14ac:dyDescent="0.35">
      <c r="A355" s="2">
        <v>46192</v>
      </c>
      <c r="B355">
        <v>4464</v>
      </c>
      <c r="C355" t="str">
        <f t="shared" si="12"/>
        <v>Qtr2</v>
      </c>
      <c r="D355">
        <f t="shared" si="13"/>
        <v>2026</v>
      </c>
    </row>
    <row r="356" spans="1:4" x14ac:dyDescent="0.35">
      <c r="A356" s="2">
        <v>46193</v>
      </c>
      <c r="B356">
        <v>4565</v>
      </c>
      <c r="C356" t="str">
        <f t="shared" si="12"/>
        <v>Qtr2</v>
      </c>
      <c r="D356">
        <f t="shared" si="13"/>
        <v>2026</v>
      </c>
    </row>
    <row r="357" spans="1:4" x14ac:dyDescent="0.35">
      <c r="A357" s="2">
        <v>46194</v>
      </c>
      <c r="B357">
        <v>735</v>
      </c>
      <c r="C357" t="str">
        <f t="shared" si="12"/>
        <v>Qtr2</v>
      </c>
      <c r="D357">
        <f t="shared" si="13"/>
        <v>2026</v>
      </c>
    </row>
    <row r="358" spans="1:4" x14ac:dyDescent="0.35">
      <c r="A358" s="2">
        <v>46195</v>
      </c>
      <c r="B358">
        <v>1793</v>
      </c>
      <c r="C358" t="str">
        <f t="shared" si="12"/>
        <v>Qtr2</v>
      </c>
      <c r="D358">
        <f t="shared" si="13"/>
        <v>2026</v>
      </c>
    </row>
    <row r="359" spans="1:4" x14ac:dyDescent="0.35">
      <c r="A359" s="2">
        <v>46196</v>
      </c>
      <c r="B359">
        <v>1782</v>
      </c>
      <c r="C359" t="str">
        <f t="shared" si="12"/>
        <v>Qtr2</v>
      </c>
      <c r="D359">
        <f t="shared" si="13"/>
        <v>2026</v>
      </c>
    </row>
    <row r="360" spans="1:4" x14ac:dyDescent="0.35">
      <c r="A360" s="2">
        <v>46197</v>
      </c>
      <c r="B360">
        <v>4852</v>
      </c>
      <c r="C360" t="str">
        <f t="shared" si="12"/>
        <v>Qtr2</v>
      </c>
      <c r="D360">
        <f t="shared" si="13"/>
        <v>2026</v>
      </c>
    </row>
    <row r="361" spans="1:4" x14ac:dyDescent="0.35">
      <c r="A361" s="2">
        <v>46198</v>
      </c>
      <c r="B361">
        <v>219</v>
      </c>
      <c r="C361" t="str">
        <f t="shared" si="12"/>
        <v>Qtr2</v>
      </c>
      <c r="D361">
        <f t="shared" si="13"/>
        <v>2026</v>
      </c>
    </row>
    <row r="362" spans="1:4" x14ac:dyDescent="0.35">
      <c r="A362" s="2">
        <v>46199</v>
      </c>
      <c r="B362">
        <v>930</v>
      </c>
      <c r="C362" t="str">
        <f t="shared" si="12"/>
        <v>Qtr2</v>
      </c>
      <c r="D362">
        <f t="shared" si="13"/>
        <v>2026</v>
      </c>
    </row>
    <row r="363" spans="1:4" x14ac:dyDescent="0.35">
      <c r="A363" s="2">
        <v>46200</v>
      </c>
      <c r="B363">
        <v>3775</v>
      </c>
      <c r="C363" t="str">
        <f t="shared" si="12"/>
        <v>Qtr2</v>
      </c>
      <c r="D363">
        <f t="shared" si="13"/>
        <v>2026</v>
      </c>
    </row>
    <row r="364" spans="1:4" x14ac:dyDescent="0.35">
      <c r="A364" s="2">
        <v>46201</v>
      </c>
      <c r="B364">
        <v>1469</v>
      </c>
      <c r="C364" t="str">
        <f t="shared" si="12"/>
        <v>Qtr2</v>
      </c>
      <c r="D364">
        <f t="shared" si="13"/>
        <v>2026</v>
      </c>
    </row>
    <row r="365" spans="1:4" x14ac:dyDescent="0.35">
      <c r="A365" s="2">
        <v>46202</v>
      </c>
      <c r="B365">
        <v>840</v>
      </c>
      <c r="C365" t="str">
        <f t="shared" si="12"/>
        <v>Qtr2</v>
      </c>
      <c r="D365">
        <f t="shared" si="13"/>
        <v>2026</v>
      </c>
    </row>
    <row r="366" spans="1:4" x14ac:dyDescent="0.35">
      <c r="A366" s="2">
        <v>46203</v>
      </c>
      <c r="B366">
        <v>216</v>
      </c>
      <c r="C366" t="str">
        <f t="shared" si="12"/>
        <v>Qtr2</v>
      </c>
      <c r="D366">
        <f t="shared" si="13"/>
        <v>2026</v>
      </c>
    </row>
    <row r="367" spans="1:4" x14ac:dyDescent="0.35">
      <c r="A367" s="2">
        <v>46204</v>
      </c>
      <c r="B367">
        <v>2938</v>
      </c>
      <c r="C367" t="str">
        <f t="shared" si="12"/>
        <v>Qtr2</v>
      </c>
      <c r="D367">
        <f t="shared" si="13"/>
        <v>2026</v>
      </c>
    </row>
    <row r="368" spans="1:4" x14ac:dyDescent="0.35">
      <c r="A368" s="2">
        <v>46205</v>
      </c>
      <c r="B368">
        <v>1250</v>
      </c>
      <c r="C368" t="str">
        <f t="shared" si="12"/>
        <v>Qtr2</v>
      </c>
      <c r="D368">
        <f t="shared" si="13"/>
        <v>2026</v>
      </c>
    </row>
    <row r="369" spans="1:4" x14ac:dyDescent="0.35">
      <c r="A369" s="2">
        <v>46206</v>
      </c>
      <c r="B369">
        <v>2031</v>
      </c>
      <c r="C369" t="str">
        <f t="shared" si="12"/>
        <v>Qtr2</v>
      </c>
      <c r="D369">
        <f t="shared" si="13"/>
        <v>2026</v>
      </c>
    </row>
    <row r="370" spans="1:4" x14ac:dyDescent="0.35">
      <c r="A370" s="2">
        <v>46207</v>
      </c>
      <c r="B370">
        <v>1112</v>
      </c>
      <c r="C370" t="str">
        <f t="shared" si="12"/>
        <v>Qtr2</v>
      </c>
      <c r="D370">
        <f t="shared" si="13"/>
        <v>2026</v>
      </c>
    </row>
    <row r="371" spans="1:4" x14ac:dyDescent="0.35">
      <c r="A371" s="2">
        <v>46208</v>
      </c>
      <c r="B371">
        <v>1764</v>
      </c>
      <c r="C371" t="str">
        <f t="shared" si="12"/>
        <v>Qtr2</v>
      </c>
      <c r="D371">
        <f t="shared" si="13"/>
        <v>2026</v>
      </c>
    </row>
    <row r="372" spans="1:4" x14ac:dyDescent="0.35">
      <c r="A372" s="2">
        <v>46209</v>
      </c>
      <c r="B372">
        <v>1181</v>
      </c>
      <c r="C372" t="str">
        <f t="shared" si="12"/>
        <v>Qtr2</v>
      </c>
      <c r="D372">
        <f t="shared" si="13"/>
        <v>2026</v>
      </c>
    </row>
    <row r="373" spans="1:4" x14ac:dyDescent="0.35">
      <c r="A373" s="2">
        <v>46210</v>
      </c>
      <c r="B373">
        <v>4829</v>
      </c>
      <c r="C373" t="str">
        <f t="shared" si="12"/>
        <v>Qtr2</v>
      </c>
      <c r="D373">
        <f t="shared" si="13"/>
        <v>2026</v>
      </c>
    </row>
    <row r="374" spans="1:4" x14ac:dyDescent="0.35">
      <c r="A374" s="2">
        <v>46211</v>
      </c>
      <c r="B374">
        <v>612</v>
      </c>
      <c r="C374" t="str">
        <f t="shared" si="12"/>
        <v>Qtr2</v>
      </c>
      <c r="D374">
        <f t="shared" si="13"/>
        <v>2026</v>
      </c>
    </row>
    <row r="375" spans="1:4" x14ac:dyDescent="0.35">
      <c r="A375" s="2">
        <v>46212</v>
      </c>
      <c r="B375">
        <v>2949</v>
      </c>
      <c r="C375" t="str">
        <f t="shared" si="12"/>
        <v>Qtr2</v>
      </c>
      <c r="D375">
        <f t="shared" si="13"/>
        <v>2026</v>
      </c>
    </row>
    <row r="376" spans="1:4" x14ac:dyDescent="0.35">
      <c r="A376" s="2">
        <v>46213</v>
      </c>
      <c r="B376">
        <v>659</v>
      </c>
      <c r="C376" t="str">
        <f t="shared" si="12"/>
        <v>Qtr2</v>
      </c>
      <c r="D376">
        <f t="shared" si="13"/>
        <v>2026</v>
      </c>
    </row>
    <row r="377" spans="1:4" x14ac:dyDescent="0.35">
      <c r="A377" s="2">
        <v>46214</v>
      </c>
      <c r="B377">
        <v>3772</v>
      </c>
      <c r="C377" t="str">
        <f t="shared" si="12"/>
        <v>Qtr2</v>
      </c>
      <c r="D377">
        <f t="shared" si="13"/>
        <v>2026</v>
      </c>
    </row>
    <row r="378" spans="1:4" x14ac:dyDescent="0.35">
      <c r="A378" s="2">
        <v>46215</v>
      </c>
      <c r="B378">
        <v>4683</v>
      </c>
      <c r="C378" t="str">
        <f t="shared" si="12"/>
        <v>Qtr2</v>
      </c>
      <c r="D378">
        <f t="shared" si="13"/>
        <v>2026</v>
      </c>
    </row>
    <row r="379" spans="1:4" x14ac:dyDescent="0.35">
      <c r="A379" s="2">
        <v>46216</v>
      </c>
      <c r="B379">
        <v>3443</v>
      </c>
      <c r="C379" t="str">
        <f t="shared" si="12"/>
        <v>Qtr2</v>
      </c>
      <c r="D379">
        <f t="shared" si="13"/>
        <v>2026</v>
      </c>
    </row>
    <row r="380" spans="1:4" x14ac:dyDescent="0.35">
      <c r="A380" s="2">
        <v>46217</v>
      </c>
      <c r="B380">
        <v>4170</v>
      </c>
      <c r="C380" t="str">
        <f t="shared" si="12"/>
        <v>Qtr2</v>
      </c>
      <c r="D380">
        <f t="shared" si="13"/>
        <v>2026</v>
      </c>
    </row>
    <row r="381" spans="1:4" x14ac:dyDescent="0.35">
      <c r="A381" s="2">
        <v>46218</v>
      </c>
      <c r="B381">
        <v>4899</v>
      </c>
      <c r="C381" t="str">
        <f t="shared" si="12"/>
        <v>Qtr2</v>
      </c>
      <c r="D381">
        <f t="shared" si="13"/>
        <v>2026</v>
      </c>
    </row>
    <row r="382" spans="1:4" x14ac:dyDescent="0.35">
      <c r="A382" s="2">
        <v>46219</v>
      </c>
      <c r="B382">
        <v>1570</v>
      </c>
      <c r="C382" t="str">
        <f t="shared" si="12"/>
        <v>Qtr2</v>
      </c>
      <c r="D382">
        <f t="shared" si="13"/>
        <v>2026</v>
      </c>
    </row>
    <row r="383" spans="1:4" x14ac:dyDescent="0.35">
      <c r="A383" s="2">
        <v>46220</v>
      </c>
      <c r="B383">
        <v>680</v>
      </c>
      <c r="C383" t="str">
        <f t="shared" si="12"/>
        <v>Qtr2</v>
      </c>
      <c r="D383">
        <f t="shared" si="13"/>
        <v>2026</v>
      </c>
    </row>
    <row r="384" spans="1:4" x14ac:dyDescent="0.35">
      <c r="A384" s="2">
        <v>46221</v>
      </c>
      <c r="B384">
        <v>2394</v>
      </c>
      <c r="C384" t="str">
        <f t="shared" si="12"/>
        <v>Qtr2</v>
      </c>
      <c r="D384">
        <f t="shared" si="13"/>
        <v>2026</v>
      </c>
    </row>
    <row r="385" spans="1:4" x14ac:dyDescent="0.35">
      <c r="A385" s="2">
        <v>46222</v>
      </c>
      <c r="B385">
        <v>3247</v>
      </c>
      <c r="C385" t="str">
        <f t="shared" si="12"/>
        <v>Qtr2</v>
      </c>
      <c r="D385">
        <f t="shared" si="13"/>
        <v>2026</v>
      </c>
    </row>
    <row r="386" spans="1:4" x14ac:dyDescent="0.35">
      <c r="A386" s="2">
        <v>46223</v>
      </c>
      <c r="B386">
        <v>4349</v>
      </c>
      <c r="C386" t="str">
        <f t="shared" si="12"/>
        <v>Qtr2</v>
      </c>
      <c r="D386">
        <f t="shared" si="13"/>
        <v>2026</v>
      </c>
    </row>
    <row r="387" spans="1:4" x14ac:dyDescent="0.35">
      <c r="A387" s="2">
        <v>46224</v>
      </c>
      <c r="B387">
        <v>1779</v>
      </c>
      <c r="C387" t="str">
        <f t="shared" ref="C387:C450" si="14" xml:space="preserve"> "Qtr"&amp;ROUND(MONTH(A387)/3,0)</f>
        <v>Qtr2</v>
      </c>
      <c r="D387">
        <f t="shared" ref="D387:D450" si="15">YEAR(A387)</f>
        <v>2026</v>
      </c>
    </row>
    <row r="388" spans="1:4" x14ac:dyDescent="0.35">
      <c r="A388" s="2">
        <v>46225</v>
      </c>
      <c r="B388">
        <v>3606</v>
      </c>
      <c r="C388" t="str">
        <f t="shared" si="14"/>
        <v>Qtr2</v>
      </c>
      <c r="D388">
        <f t="shared" si="15"/>
        <v>2026</v>
      </c>
    </row>
    <row r="389" spans="1:4" x14ac:dyDescent="0.35">
      <c r="A389" s="2">
        <v>46226</v>
      </c>
      <c r="B389">
        <v>2844</v>
      </c>
      <c r="C389" t="str">
        <f t="shared" si="14"/>
        <v>Qtr2</v>
      </c>
      <c r="D389">
        <f t="shared" si="15"/>
        <v>2026</v>
      </c>
    </row>
    <row r="390" spans="1:4" x14ac:dyDescent="0.35">
      <c r="A390" s="2">
        <v>46227</v>
      </c>
      <c r="B390">
        <v>3456</v>
      </c>
      <c r="C390" t="str">
        <f t="shared" si="14"/>
        <v>Qtr2</v>
      </c>
      <c r="D390">
        <f t="shared" si="15"/>
        <v>2026</v>
      </c>
    </row>
    <row r="391" spans="1:4" x14ac:dyDescent="0.35">
      <c r="A391" s="2">
        <v>46228</v>
      </c>
      <c r="B391">
        <v>4145</v>
      </c>
      <c r="C391" t="str">
        <f t="shared" si="14"/>
        <v>Qtr2</v>
      </c>
      <c r="D391">
        <f t="shared" si="15"/>
        <v>2026</v>
      </c>
    </row>
    <row r="392" spans="1:4" x14ac:dyDescent="0.35">
      <c r="A392" s="2">
        <v>46229</v>
      </c>
      <c r="B392">
        <v>1343</v>
      </c>
      <c r="C392" t="str">
        <f t="shared" si="14"/>
        <v>Qtr2</v>
      </c>
      <c r="D392">
        <f t="shared" si="15"/>
        <v>2026</v>
      </c>
    </row>
    <row r="393" spans="1:4" x14ac:dyDescent="0.35">
      <c r="A393" s="2">
        <v>46230</v>
      </c>
      <c r="B393">
        <v>3218</v>
      </c>
      <c r="C393" t="str">
        <f t="shared" si="14"/>
        <v>Qtr2</v>
      </c>
      <c r="D393">
        <f t="shared" si="15"/>
        <v>2026</v>
      </c>
    </row>
    <row r="394" spans="1:4" x14ac:dyDescent="0.35">
      <c r="A394" s="2">
        <v>46231</v>
      </c>
      <c r="B394">
        <v>2241</v>
      </c>
      <c r="C394" t="str">
        <f t="shared" si="14"/>
        <v>Qtr2</v>
      </c>
      <c r="D394">
        <f t="shared" si="15"/>
        <v>2026</v>
      </c>
    </row>
    <row r="395" spans="1:4" x14ac:dyDescent="0.35">
      <c r="A395" s="2">
        <v>46232</v>
      </c>
      <c r="B395">
        <v>3159</v>
      </c>
      <c r="C395" t="str">
        <f t="shared" si="14"/>
        <v>Qtr2</v>
      </c>
      <c r="D395">
        <f t="shared" si="15"/>
        <v>2026</v>
      </c>
    </row>
    <row r="396" spans="1:4" x14ac:dyDescent="0.35">
      <c r="A396" s="2">
        <v>46233</v>
      </c>
      <c r="B396">
        <v>4648</v>
      </c>
      <c r="C396" t="str">
        <f t="shared" si="14"/>
        <v>Qtr2</v>
      </c>
      <c r="D396">
        <f t="shared" si="15"/>
        <v>2026</v>
      </c>
    </row>
    <row r="397" spans="1:4" x14ac:dyDescent="0.35">
      <c r="A397" s="2">
        <v>46234</v>
      </c>
      <c r="B397">
        <v>3059</v>
      </c>
      <c r="C397" t="str">
        <f t="shared" si="14"/>
        <v>Qtr2</v>
      </c>
      <c r="D397">
        <f t="shared" si="15"/>
        <v>2026</v>
      </c>
    </row>
    <row r="398" spans="1:4" x14ac:dyDescent="0.35">
      <c r="A398" s="2">
        <v>46235</v>
      </c>
      <c r="B398">
        <v>2365</v>
      </c>
      <c r="C398" t="str">
        <f t="shared" si="14"/>
        <v>Qtr3</v>
      </c>
      <c r="D398">
        <f t="shared" si="15"/>
        <v>2026</v>
      </c>
    </row>
    <row r="399" spans="1:4" x14ac:dyDescent="0.35">
      <c r="A399" s="2">
        <v>46236</v>
      </c>
      <c r="B399">
        <v>2579</v>
      </c>
      <c r="C399" t="str">
        <f t="shared" si="14"/>
        <v>Qtr3</v>
      </c>
      <c r="D399">
        <f t="shared" si="15"/>
        <v>2026</v>
      </c>
    </row>
    <row r="400" spans="1:4" x14ac:dyDescent="0.35">
      <c r="A400" s="2">
        <v>46237</v>
      </c>
      <c r="B400">
        <v>4746</v>
      </c>
      <c r="C400" t="str">
        <f t="shared" si="14"/>
        <v>Qtr3</v>
      </c>
      <c r="D400">
        <f t="shared" si="15"/>
        <v>2026</v>
      </c>
    </row>
    <row r="401" spans="1:4" x14ac:dyDescent="0.35">
      <c r="A401" s="2">
        <v>46238</v>
      </c>
      <c r="B401">
        <v>1735</v>
      </c>
      <c r="C401" t="str">
        <f t="shared" si="14"/>
        <v>Qtr3</v>
      </c>
      <c r="D401">
        <f t="shared" si="15"/>
        <v>2026</v>
      </c>
    </row>
    <row r="402" spans="1:4" x14ac:dyDescent="0.35">
      <c r="A402" s="2">
        <v>46239</v>
      </c>
      <c r="B402">
        <v>1857</v>
      </c>
      <c r="C402" t="str">
        <f t="shared" si="14"/>
        <v>Qtr3</v>
      </c>
      <c r="D402">
        <f t="shared" si="15"/>
        <v>2026</v>
      </c>
    </row>
    <row r="403" spans="1:4" x14ac:dyDescent="0.35">
      <c r="A403" s="2">
        <v>46240</v>
      </c>
      <c r="B403">
        <v>4552</v>
      </c>
      <c r="C403" t="str">
        <f t="shared" si="14"/>
        <v>Qtr3</v>
      </c>
      <c r="D403">
        <f t="shared" si="15"/>
        <v>2026</v>
      </c>
    </row>
    <row r="404" spans="1:4" x14ac:dyDescent="0.35">
      <c r="A404" s="2">
        <v>46241</v>
      </c>
      <c r="B404">
        <v>2170</v>
      </c>
      <c r="C404" t="str">
        <f t="shared" si="14"/>
        <v>Qtr3</v>
      </c>
      <c r="D404">
        <f t="shared" si="15"/>
        <v>2026</v>
      </c>
    </row>
    <row r="405" spans="1:4" x14ac:dyDescent="0.35">
      <c r="A405" s="2">
        <v>46242</v>
      </c>
      <c r="B405">
        <v>2949</v>
      </c>
      <c r="C405" t="str">
        <f t="shared" si="14"/>
        <v>Qtr3</v>
      </c>
      <c r="D405">
        <f t="shared" si="15"/>
        <v>2026</v>
      </c>
    </row>
    <row r="406" spans="1:4" x14ac:dyDescent="0.35">
      <c r="A406" s="2">
        <v>46243</v>
      </c>
      <c r="B406">
        <v>3351</v>
      </c>
      <c r="C406" t="str">
        <f t="shared" si="14"/>
        <v>Qtr3</v>
      </c>
      <c r="D406">
        <f t="shared" si="15"/>
        <v>2026</v>
      </c>
    </row>
    <row r="407" spans="1:4" x14ac:dyDescent="0.35">
      <c r="A407" s="2">
        <v>46244</v>
      </c>
      <c r="B407">
        <v>3830</v>
      </c>
      <c r="C407" t="str">
        <f t="shared" si="14"/>
        <v>Qtr3</v>
      </c>
      <c r="D407">
        <f t="shared" si="15"/>
        <v>2026</v>
      </c>
    </row>
    <row r="408" spans="1:4" x14ac:dyDescent="0.35">
      <c r="A408" s="2">
        <v>46245</v>
      </c>
      <c r="B408">
        <v>2589</v>
      </c>
      <c r="C408" t="str">
        <f t="shared" si="14"/>
        <v>Qtr3</v>
      </c>
      <c r="D408">
        <f t="shared" si="15"/>
        <v>2026</v>
      </c>
    </row>
    <row r="409" spans="1:4" x14ac:dyDescent="0.35">
      <c r="A409" s="2">
        <v>46246</v>
      </c>
      <c r="B409">
        <v>1731</v>
      </c>
      <c r="C409" t="str">
        <f t="shared" si="14"/>
        <v>Qtr3</v>
      </c>
      <c r="D409">
        <f t="shared" si="15"/>
        <v>2026</v>
      </c>
    </row>
    <row r="410" spans="1:4" x14ac:dyDescent="0.35">
      <c r="A410" s="2">
        <v>46247</v>
      </c>
      <c r="B410">
        <v>2916</v>
      </c>
      <c r="C410" t="str">
        <f t="shared" si="14"/>
        <v>Qtr3</v>
      </c>
      <c r="D410">
        <f t="shared" si="15"/>
        <v>2026</v>
      </c>
    </row>
    <row r="411" spans="1:4" x14ac:dyDescent="0.35">
      <c r="A411" s="2">
        <v>46248</v>
      </c>
      <c r="B411">
        <v>1115</v>
      </c>
      <c r="C411" t="str">
        <f t="shared" si="14"/>
        <v>Qtr3</v>
      </c>
      <c r="D411">
        <f t="shared" si="15"/>
        <v>2026</v>
      </c>
    </row>
    <row r="412" spans="1:4" x14ac:dyDescent="0.35">
      <c r="A412" s="2">
        <v>46249</v>
      </c>
      <c r="B412">
        <v>1448</v>
      </c>
      <c r="C412" t="str">
        <f t="shared" si="14"/>
        <v>Qtr3</v>
      </c>
      <c r="D412">
        <f t="shared" si="15"/>
        <v>2026</v>
      </c>
    </row>
    <row r="413" spans="1:4" x14ac:dyDescent="0.35">
      <c r="A413" s="2">
        <v>46250</v>
      </c>
      <c r="B413">
        <v>4711</v>
      </c>
      <c r="C413" t="str">
        <f t="shared" si="14"/>
        <v>Qtr3</v>
      </c>
      <c r="D413">
        <f t="shared" si="15"/>
        <v>2026</v>
      </c>
    </row>
    <row r="414" spans="1:4" x14ac:dyDescent="0.35">
      <c r="A414" s="2">
        <v>46251</v>
      </c>
      <c r="B414">
        <v>3187</v>
      </c>
      <c r="C414" t="str">
        <f t="shared" si="14"/>
        <v>Qtr3</v>
      </c>
      <c r="D414">
        <f t="shared" si="15"/>
        <v>2026</v>
      </c>
    </row>
    <row r="415" spans="1:4" x14ac:dyDescent="0.35">
      <c r="A415" s="2">
        <v>46252</v>
      </c>
      <c r="B415">
        <v>2939</v>
      </c>
      <c r="C415" t="str">
        <f t="shared" si="14"/>
        <v>Qtr3</v>
      </c>
      <c r="D415">
        <f t="shared" si="15"/>
        <v>2026</v>
      </c>
    </row>
    <row r="416" spans="1:4" x14ac:dyDescent="0.35">
      <c r="A416" s="2">
        <v>46253</v>
      </c>
      <c r="B416">
        <v>435</v>
      </c>
      <c r="C416" t="str">
        <f t="shared" si="14"/>
        <v>Qtr3</v>
      </c>
      <c r="D416">
        <f t="shared" si="15"/>
        <v>2026</v>
      </c>
    </row>
    <row r="417" spans="1:4" x14ac:dyDescent="0.35">
      <c r="A417" s="2">
        <v>46254</v>
      </c>
      <c r="B417">
        <v>4692</v>
      </c>
      <c r="C417" t="str">
        <f t="shared" si="14"/>
        <v>Qtr3</v>
      </c>
      <c r="D417">
        <f t="shared" si="15"/>
        <v>2026</v>
      </c>
    </row>
    <row r="418" spans="1:4" x14ac:dyDescent="0.35">
      <c r="A418" s="2">
        <v>46255</v>
      </c>
      <c r="B418">
        <v>995</v>
      </c>
      <c r="C418" t="str">
        <f t="shared" si="14"/>
        <v>Qtr3</v>
      </c>
      <c r="D418">
        <f t="shared" si="15"/>
        <v>2026</v>
      </c>
    </row>
    <row r="419" spans="1:4" x14ac:dyDescent="0.35">
      <c r="A419" s="2">
        <v>46256</v>
      </c>
      <c r="B419">
        <v>3646</v>
      </c>
      <c r="C419" t="str">
        <f t="shared" si="14"/>
        <v>Qtr3</v>
      </c>
      <c r="D419">
        <f t="shared" si="15"/>
        <v>2026</v>
      </c>
    </row>
    <row r="420" spans="1:4" x14ac:dyDescent="0.35">
      <c r="A420" s="2">
        <v>46257</v>
      </c>
      <c r="B420">
        <v>951</v>
      </c>
      <c r="C420" t="str">
        <f t="shared" si="14"/>
        <v>Qtr3</v>
      </c>
      <c r="D420">
        <f t="shared" si="15"/>
        <v>2026</v>
      </c>
    </row>
    <row r="421" spans="1:4" x14ac:dyDescent="0.35">
      <c r="A421" s="2">
        <v>46258</v>
      </c>
      <c r="B421">
        <v>1787</v>
      </c>
      <c r="C421" t="str">
        <f t="shared" si="14"/>
        <v>Qtr3</v>
      </c>
      <c r="D421">
        <f t="shared" si="15"/>
        <v>2026</v>
      </c>
    </row>
    <row r="422" spans="1:4" x14ac:dyDescent="0.35">
      <c r="A422" s="2">
        <v>46259</v>
      </c>
      <c r="B422">
        <v>2031</v>
      </c>
      <c r="C422" t="str">
        <f t="shared" si="14"/>
        <v>Qtr3</v>
      </c>
      <c r="D422">
        <f t="shared" si="15"/>
        <v>2026</v>
      </c>
    </row>
    <row r="423" spans="1:4" x14ac:dyDescent="0.35">
      <c r="A423" s="2">
        <v>46260</v>
      </c>
      <c r="B423">
        <v>3846</v>
      </c>
      <c r="C423" t="str">
        <f t="shared" si="14"/>
        <v>Qtr3</v>
      </c>
      <c r="D423">
        <f t="shared" si="15"/>
        <v>2026</v>
      </c>
    </row>
    <row r="424" spans="1:4" x14ac:dyDescent="0.35">
      <c r="A424" s="2">
        <v>46261</v>
      </c>
      <c r="B424">
        <v>2527</v>
      </c>
      <c r="C424" t="str">
        <f t="shared" si="14"/>
        <v>Qtr3</v>
      </c>
      <c r="D424">
        <f t="shared" si="15"/>
        <v>2026</v>
      </c>
    </row>
    <row r="425" spans="1:4" x14ac:dyDescent="0.35">
      <c r="A425" s="2">
        <v>46262</v>
      </c>
      <c r="B425">
        <v>1668</v>
      </c>
      <c r="C425" t="str">
        <f t="shared" si="14"/>
        <v>Qtr3</v>
      </c>
      <c r="D425">
        <f t="shared" si="15"/>
        <v>2026</v>
      </c>
    </row>
    <row r="426" spans="1:4" x14ac:dyDescent="0.35">
      <c r="A426" s="2">
        <v>46263</v>
      </c>
      <c r="B426">
        <v>4100</v>
      </c>
      <c r="C426" t="str">
        <f t="shared" si="14"/>
        <v>Qtr3</v>
      </c>
      <c r="D426">
        <f t="shared" si="15"/>
        <v>2026</v>
      </c>
    </row>
    <row r="427" spans="1:4" x14ac:dyDescent="0.35">
      <c r="A427" s="2">
        <v>46264</v>
      </c>
      <c r="B427">
        <v>2838</v>
      </c>
      <c r="C427" t="str">
        <f t="shared" si="14"/>
        <v>Qtr3</v>
      </c>
      <c r="D427">
        <f t="shared" si="15"/>
        <v>2026</v>
      </c>
    </row>
    <row r="428" spans="1:4" x14ac:dyDescent="0.35">
      <c r="A428" s="2">
        <v>46265</v>
      </c>
      <c r="B428">
        <v>3598</v>
      </c>
      <c r="C428" t="str">
        <f t="shared" si="14"/>
        <v>Qtr3</v>
      </c>
      <c r="D428">
        <f t="shared" si="15"/>
        <v>2026</v>
      </c>
    </row>
    <row r="429" spans="1:4" x14ac:dyDescent="0.35">
      <c r="A429" s="2">
        <v>46266</v>
      </c>
      <c r="B429">
        <v>4013</v>
      </c>
      <c r="C429" t="str">
        <f t="shared" si="14"/>
        <v>Qtr3</v>
      </c>
      <c r="D429">
        <f t="shared" si="15"/>
        <v>2026</v>
      </c>
    </row>
    <row r="430" spans="1:4" x14ac:dyDescent="0.35">
      <c r="A430" s="2">
        <v>46267</v>
      </c>
      <c r="B430">
        <v>1166</v>
      </c>
      <c r="C430" t="str">
        <f t="shared" si="14"/>
        <v>Qtr3</v>
      </c>
      <c r="D430">
        <f t="shared" si="15"/>
        <v>2026</v>
      </c>
    </row>
    <row r="431" spans="1:4" x14ac:dyDescent="0.35">
      <c r="A431" s="2">
        <v>46268</v>
      </c>
      <c r="B431">
        <v>4480</v>
      </c>
      <c r="C431" t="str">
        <f t="shared" si="14"/>
        <v>Qtr3</v>
      </c>
      <c r="D431">
        <f t="shared" si="15"/>
        <v>2026</v>
      </c>
    </row>
    <row r="432" spans="1:4" x14ac:dyDescent="0.35">
      <c r="A432" s="2">
        <v>46269</v>
      </c>
      <c r="B432">
        <v>2544</v>
      </c>
      <c r="C432" t="str">
        <f t="shared" si="14"/>
        <v>Qtr3</v>
      </c>
      <c r="D432">
        <f t="shared" si="15"/>
        <v>2026</v>
      </c>
    </row>
    <row r="433" spans="1:4" x14ac:dyDescent="0.35">
      <c r="A433" s="2">
        <v>46270</v>
      </c>
      <c r="B433">
        <v>4207</v>
      </c>
      <c r="C433" t="str">
        <f t="shared" si="14"/>
        <v>Qtr3</v>
      </c>
      <c r="D433">
        <f t="shared" si="15"/>
        <v>2026</v>
      </c>
    </row>
    <row r="434" spans="1:4" x14ac:dyDescent="0.35">
      <c r="A434" s="2">
        <v>46271</v>
      </c>
      <c r="B434">
        <v>3473</v>
      </c>
      <c r="C434" t="str">
        <f t="shared" si="14"/>
        <v>Qtr3</v>
      </c>
      <c r="D434">
        <f t="shared" si="15"/>
        <v>2026</v>
      </c>
    </row>
    <row r="435" spans="1:4" x14ac:dyDescent="0.35">
      <c r="A435" s="2">
        <v>46272</v>
      </c>
      <c r="B435">
        <v>4069</v>
      </c>
      <c r="C435" t="str">
        <f t="shared" si="14"/>
        <v>Qtr3</v>
      </c>
      <c r="D435">
        <f t="shared" si="15"/>
        <v>2026</v>
      </c>
    </row>
    <row r="436" spans="1:4" x14ac:dyDescent="0.35">
      <c r="A436" s="2">
        <v>46273</v>
      </c>
      <c r="B436">
        <v>2646</v>
      </c>
      <c r="C436" t="str">
        <f t="shared" si="14"/>
        <v>Qtr3</v>
      </c>
      <c r="D436">
        <f t="shared" si="15"/>
        <v>2026</v>
      </c>
    </row>
    <row r="437" spans="1:4" x14ac:dyDescent="0.35">
      <c r="A437" s="2">
        <v>46274</v>
      </c>
      <c r="B437">
        <v>853</v>
      </c>
      <c r="C437" t="str">
        <f t="shared" si="14"/>
        <v>Qtr3</v>
      </c>
      <c r="D437">
        <f t="shared" si="15"/>
        <v>2026</v>
      </c>
    </row>
    <row r="438" spans="1:4" x14ac:dyDescent="0.35">
      <c r="A438" s="2">
        <v>46275</v>
      </c>
      <c r="B438">
        <v>2182</v>
      </c>
      <c r="C438" t="str">
        <f t="shared" si="14"/>
        <v>Qtr3</v>
      </c>
      <c r="D438">
        <f t="shared" si="15"/>
        <v>2026</v>
      </c>
    </row>
    <row r="439" spans="1:4" x14ac:dyDescent="0.35">
      <c r="A439" s="2">
        <v>46276</v>
      </c>
      <c r="B439">
        <v>2874</v>
      </c>
      <c r="C439" t="str">
        <f t="shared" si="14"/>
        <v>Qtr3</v>
      </c>
      <c r="D439">
        <f t="shared" si="15"/>
        <v>2026</v>
      </c>
    </row>
    <row r="440" spans="1:4" x14ac:dyDescent="0.35">
      <c r="A440" s="2">
        <v>46277</v>
      </c>
      <c r="B440">
        <v>2996</v>
      </c>
      <c r="C440" t="str">
        <f t="shared" si="14"/>
        <v>Qtr3</v>
      </c>
      <c r="D440">
        <f t="shared" si="15"/>
        <v>2026</v>
      </c>
    </row>
    <row r="441" spans="1:4" x14ac:dyDescent="0.35">
      <c r="A441" s="2">
        <v>46278</v>
      </c>
      <c r="B441">
        <v>4285</v>
      </c>
      <c r="C441" t="str">
        <f t="shared" si="14"/>
        <v>Qtr3</v>
      </c>
      <c r="D441">
        <f t="shared" si="15"/>
        <v>2026</v>
      </c>
    </row>
    <row r="442" spans="1:4" x14ac:dyDescent="0.35">
      <c r="A442" s="2">
        <v>46279</v>
      </c>
      <c r="B442">
        <v>875</v>
      </c>
      <c r="C442" t="str">
        <f t="shared" si="14"/>
        <v>Qtr3</v>
      </c>
      <c r="D442">
        <f t="shared" si="15"/>
        <v>2026</v>
      </c>
    </row>
    <row r="443" spans="1:4" x14ac:dyDescent="0.35">
      <c r="A443" s="2">
        <v>46280</v>
      </c>
      <c r="B443">
        <v>1725</v>
      </c>
      <c r="C443" t="str">
        <f t="shared" si="14"/>
        <v>Qtr3</v>
      </c>
      <c r="D443">
        <f t="shared" si="15"/>
        <v>2026</v>
      </c>
    </row>
    <row r="444" spans="1:4" x14ac:dyDescent="0.35">
      <c r="A444" s="2">
        <v>46281</v>
      </c>
      <c r="B444">
        <v>3169</v>
      </c>
      <c r="C444" t="str">
        <f t="shared" si="14"/>
        <v>Qtr3</v>
      </c>
      <c r="D444">
        <f t="shared" si="15"/>
        <v>2026</v>
      </c>
    </row>
    <row r="445" spans="1:4" x14ac:dyDescent="0.35">
      <c r="A445" s="2">
        <v>46282</v>
      </c>
      <c r="B445">
        <v>517</v>
      </c>
      <c r="C445" t="str">
        <f t="shared" si="14"/>
        <v>Qtr3</v>
      </c>
      <c r="D445">
        <f t="shared" si="15"/>
        <v>2026</v>
      </c>
    </row>
    <row r="446" spans="1:4" x14ac:dyDescent="0.35">
      <c r="A446" s="2">
        <v>46283</v>
      </c>
      <c r="B446">
        <v>214</v>
      </c>
      <c r="C446" t="str">
        <f t="shared" si="14"/>
        <v>Qtr3</v>
      </c>
      <c r="D446">
        <f t="shared" si="15"/>
        <v>2026</v>
      </c>
    </row>
    <row r="447" spans="1:4" x14ac:dyDescent="0.35">
      <c r="A447" s="2">
        <v>46284</v>
      </c>
      <c r="B447">
        <v>716</v>
      </c>
      <c r="C447" t="str">
        <f t="shared" si="14"/>
        <v>Qtr3</v>
      </c>
      <c r="D447">
        <f t="shared" si="15"/>
        <v>2026</v>
      </c>
    </row>
    <row r="448" spans="1:4" x14ac:dyDescent="0.35">
      <c r="A448" s="2">
        <v>46285</v>
      </c>
      <c r="B448">
        <v>4074</v>
      </c>
      <c r="C448" t="str">
        <f t="shared" si="14"/>
        <v>Qtr3</v>
      </c>
      <c r="D448">
        <f t="shared" si="15"/>
        <v>2026</v>
      </c>
    </row>
    <row r="449" spans="1:4" x14ac:dyDescent="0.35">
      <c r="A449" s="2">
        <v>46286</v>
      </c>
      <c r="B449">
        <v>3367</v>
      </c>
      <c r="C449" t="str">
        <f t="shared" si="14"/>
        <v>Qtr3</v>
      </c>
      <c r="D449">
        <f t="shared" si="15"/>
        <v>2026</v>
      </c>
    </row>
    <row r="450" spans="1:4" x14ac:dyDescent="0.35">
      <c r="A450" s="2">
        <v>46287</v>
      </c>
      <c r="B450">
        <v>925</v>
      </c>
      <c r="C450" t="str">
        <f t="shared" si="14"/>
        <v>Qtr3</v>
      </c>
      <c r="D450">
        <f t="shared" si="15"/>
        <v>2026</v>
      </c>
    </row>
    <row r="451" spans="1:4" x14ac:dyDescent="0.35">
      <c r="A451" s="2">
        <v>46288</v>
      </c>
      <c r="B451">
        <v>1616</v>
      </c>
      <c r="C451" t="str">
        <f t="shared" ref="C451:C514" si="16" xml:space="preserve"> "Qtr"&amp;ROUND(MONTH(A451)/3,0)</f>
        <v>Qtr3</v>
      </c>
      <c r="D451">
        <f t="shared" ref="D451:D514" si="17">YEAR(A451)</f>
        <v>2026</v>
      </c>
    </row>
    <row r="452" spans="1:4" x14ac:dyDescent="0.35">
      <c r="A452" s="2">
        <v>46289</v>
      </c>
      <c r="B452">
        <v>3246</v>
      </c>
      <c r="C452" t="str">
        <f t="shared" si="16"/>
        <v>Qtr3</v>
      </c>
      <c r="D452">
        <f t="shared" si="17"/>
        <v>2026</v>
      </c>
    </row>
    <row r="453" spans="1:4" x14ac:dyDescent="0.35">
      <c r="A453" s="2">
        <v>46290</v>
      </c>
      <c r="B453">
        <v>512</v>
      </c>
      <c r="C453" t="str">
        <f t="shared" si="16"/>
        <v>Qtr3</v>
      </c>
      <c r="D453">
        <f t="shared" si="17"/>
        <v>2026</v>
      </c>
    </row>
    <row r="454" spans="1:4" x14ac:dyDescent="0.35">
      <c r="A454" s="2">
        <v>46291</v>
      </c>
      <c r="B454">
        <v>828</v>
      </c>
      <c r="C454" t="str">
        <f t="shared" si="16"/>
        <v>Qtr3</v>
      </c>
      <c r="D454">
        <f t="shared" si="17"/>
        <v>2026</v>
      </c>
    </row>
    <row r="455" spans="1:4" x14ac:dyDescent="0.35">
      <c r="A455" s="2">
        <v>46292</v>
      </c>
      <c r="B455">
        <v>3448</v>
      </c>
      <c r="C455" t="str">
        <f t="shared" si="16"/>
        <v>Qtr3</v>
      </c>
      <c r="D455">
        <f t="shared" si="17"/>
        <v>2026</v>
      </c>
    </row>
    <row r="456" spans="1:4" x14ac:dyDescent="0.35">
      <c r="A456" s="2">
        <v>46293</v>
      </c>
      <c r="B456">
        <v>2908</v>
      </c>
      <c r="C456" t="str">
        <f t="shared" si="16"/>
        <v>Qtr3</v>
      </c>
      <c r="D456">
        <f t="shared" si="17"/>
        <v>2026</v>
      </c>
    </row>
    <row r="457" spans="1:4" x14ac:dyDescent="0.35">
      <c r="A457" s="2">
        <v>46294</v>
      </c>
      <c r="B457">
        <v>775</v>
      </c>
      <c r="C457" t="str">
        <f t="shared" si="16"/>
        <v>Qtr3</v>
      </c>
      <c r="D457">
        <f t="shared" si="17"/>
        <v>2026</v>
      </c>
    </row>
    <row r="458" spans="1:4" x14ac:dyDescent="0.35">
      <c r="A458" s="2">
        <v>46295</v>
      </c>
      <c r="B458">
        <v>3565</v>
      </c>
      <c r="C458" t="str">
        <f t="shared" si="16"/>
        <v>Qtr3</v>
      </c>
      <c r="D458">
        <f t="shared" si="17"/>
        <v>2026</v>
      </c>
    </row>
    <row r="459" spans="1:4" x14ac:dyDescent="0.35">
      <c r="A459" s="2">
        <v>46296</v>
      </c>
      <c r="B459">
        <v>2604</v>
      </c>
      <c r="C459" t="str">
        <f t="shared" si="16"/>
        <v>Qtr3</v>
      </c>
      <c r="D459">
        <f t="shared" si="17"/>
        <v>2026</v>
      </c>
    </row>
    <row r="460" spans="1:4" x14ac:dyDescent="0.35">
      <c r="A460" s="2">
        <v>46297</v>
      </c>
      <c r="B460">
        <v>3067</v>
      </c>
      <c r="C460" t="str">
        <f t="shared" si="16"/>
        <v>Qtr3</v>
      </c>
      <c r="D460">
        <f t="shared" si="17"/>
        <v>2026</v>
      </c>
    </row>
    <row r="461" spans="1:4" x14ac:dyDescent="0.35">
      <c r="A461" s="2">
        <v>46298</v>
      </c>
      <c r="B461">
        <v>2886</v>
      </c>
      <c r="C461" t="str">
        <f t="shared" si="16"/>
        <v>Qtr3</v>
      </c>
      <c r="D461">
        <f t="shared" si="17"/>
        <v>2026</v>
      </c>
    </row>
    <row r="462" spans="1:4" x14ac:dyDescent="0.35">
      <c r="A462" s="2">
        <v>46299</v>
      </c>
      <c r="B462">
        <v>1222</v>
      </c>
      <c r="C462" t="str">
        <f t="shared" si="16"/>
        <v>Qtr3</v>
      </c>
      <c r="D462">
        <f t="shared" si="17"/>
        <v>2026</v>
      </c>
    </row>
    <row r="463" spans="1:4" x14ac:dyDescent="0.35">
      <c r="A463" s="2">
        <v>46300</v>
      </c>
      <c r="B463">
        <v>4179</v>
      </c>
      <c r="C463" t="str">
        <f t="shared" si="16"/>
        <v>Qtr3</v>
      </c>
      <c r="D463">
        <f t="shared" si="17"/>
        <v>2026</v>
      </c>
    </row>
    <row r="464" spans="1:4" x14ac:dyDescent="0.35">
      <c r="A464" s="2">
        <v>46301</v>
      </c>
      <c r="B464">
        <v>1671</v>
      </c>
      <c r="C464" t="str">
        <f t="shared" si="16"/>
        <v>Qtr3</v>
      </c>
      <c r="D464">
        <f t="shared" si="17"/>
        <v>2026</v>
      </c>
    </row>
    <row r="465" spans="1:4" x14ac:dyDescent="0.35">
      <c r="A465" s="2">
        <v>46302</v>
      </c>
      <c r="B465">
        <v>2243</v>
      </c>
      <c r="C465" t="str">
        <f t="shared" si="16"/>
        <v>Qtr3</v>
      </c>
      <c r="D465">
        <f t="shared" si="17"/>
        <v>2026</v>
      </c>
    </row>
    <row r="466" spans="1:4" x14ac:dyDescent="0.35">
      <c r="A466" s="2">
        <v>46303</v>
      </c>
      <c r="B466">
        <v>1787</v>
      </c>
      <c r="C466" t="str">
        <f t="shared" si="16"/>
        <v>Qtr3</v>
      </c>
      <c r="D466">
        <f t="shared" si="17"/>
        <v>2026</v>
      </c>
    </row>
    <row r="467" spans="1:4" x14ac:dyDescent="0.35">
      <c r="A467" s="2">
        <v>46304</v>
      </c>
      <c r="B467">
        <v>4232</v>
      </c>
      <c r="C467" t="str">
        <f t="shared" si="16"/>
        <v>Qtr3</v>
      </c>
      <c r="D467">
        <f t="shared" si="17"/>
        <v>2026</v>
      </c>
    </row>
    <row r="468" spans="1:4" x14ac:dyDescent="0.35">
      <c r="A468" s="2">
        <v>46305</v>
      </c>
      <c r="B468">
        <v>3951</v>
      </c>
      <c r="C468" t="str">
        <f t="shared" si="16"/>
        <v>Qtr3</v>
      </c>
      <c r="D468">
        <f t="shared" si="17"/>
        <v>2026</v>
      </c>
    </row>
    <row r="469" spans="1:4" x14ac:dyDescent="0.35">
      <c r="A469" s="2">
        <v>46306</v>
      </c>
      <c r="B469">
        <v>3540</v>
      </c>
      <c r="C469" t="str">
        <f t="shared" si="16"/>
        <v>Qtr3</v>
      </c>
      <c r="D469">
        <f t="shared" si="17"/>
        <v>2026</v>
      </c>
    </row>
    <row r="470" spans="1:4" x14ac:dyDescent="0.35">
      <c r="A470" s="2">
        <v>46307</v>
      </c>
      <c r="B470">
        <v>3866</v>
      </c>
      <c r="C470" t="str">
        <f t="shared" si="16"/>
        <v>Qtr3</v>
      </c>
      <c r="D470">
        <f t="shared" si="17"/>
        <v>2026</v>
      </c>
    </row>
    <row r="471" spans="1:4" x14ac:dyDescent="0.35">
      <c r="A471" s="2">
        <v>46308</v>
      </c>
      <c r="B471">
        <v>2426</v>
      </c>
      <c r="C471" t="str">
        <f t="shared" si="16"/>
        <v>Qtr3</v>
      </c>
      <c r="D471">
        <f t="shared" si="17"/>
        <v>2026</v>
      </c>
    </row>
    <row r="472" spans="1:4" x14ac:dyDescent="0.35">
      <c r="A472" s="2">
        <v>46309</v>
      </c>
      <c r="B472">
        <v>3014</v>
      </c>
      <c r="C472" t="str">
        <f t="shared" si="16"/>
        <v>Qtr3</v>
      </c>
      <c r="D472">
        <f t="shared" si="17"/>
        <v>2026</v>
      </c>
    </row>
    <row r="473" spans="1:4" x14ac:dyDescent="0.35">
      <c r="A473" s="2">
        <v>46310</v>
      </c>
      <c r="B473">
        <v>4052</v>
      </c>
      <c r="C473" t="str">
        <f t="shared" si="16"/>
        <v>Qtr3</v>
      </c>
      <c r="D473">
        <f t="shared" si="17"/>
        <v>2026</v>
      </c>
    </row>
    <row r="474" spans="1:4" x14ac:dyDescent="0.35">
      <c r="A474" s="2">
        <v>46311</v>
      </c>
      <c r="B474">
        <v>695</v>
      </c>
      <c r="C474" t="str">
        <f t="shared" si="16"/>
        <v>Qtr3</v>
      </c>
      <c r="D474">
        <f t="shared" si="17"/>
        <v>2026</v>
      </c>
    </row>
    <row r="475" spans="1:4" x14ac:dyDescent="0.35">
      <c r="A475" s="2">
        <v>46312</v>
      </c>
      <c r="B475">
        <v>828</v>
      </c>
      <c r="C475" t="str">
        <f t="shared" si="16"/>
        <v>Qtr3</v>
      </c>
      <c r="D475">
        <f t="shared" si="17"/>
        <v>2026</v>
      </c>
    </row>
    <row r="476" spans="1:4" x14ac:dyDescent="0.35">
      <c r="A476" s="2">
        <v>46313</v>
      </c>
      <c r="B476">
        <v>1465</v>
      </c>
      <c r="C476" t="str">
        <f t="shared" si="16"/>
        <v>Qtr3</v>
      </c>
      <c r="D476">
        <f t="shared" si="17"/>
        <v>2026</v>
      </c>
    </row>
    <row r="477" spans="1:4" x14ac:dyDescent="0.35">
      <c r="A477" s="2">
        <v>46314</v>
      </c>
      <c r="B477">
        <v>4592</v>
      </c>
      <c r="C477" t="str">
        <f t="shared" si="16"/>
        <v>Qtr3</v>
      </c>
      <c r="D477">
        <f t="shared" si="17"/>
        <v>2026</v>
      </c>
    </row>
    <row r="478" spans="1:4" x14ac:dyDescent="0.35">
      <c r="A478" s="2">
        <v>46315</v>
      </c>
      <c r="B478">
        <v>798</v>
      </c>
      <c r="C478" t="str">
        <f t="shared" si="16"/>
        <v>Qtr3</v>
      </c>
      <c r="D478">
        <f t="shared" si="17"/>
        <v>2026</v>
      </c>
    </row>
    <row r="479" spans="1:4" x14ac:dyDescent="0.35">
      <c r="A479" s="2">
        <v>46316</v>
      </c>
      <c r="B479">
        <v>495</v>
      </c>
      <c r="C479" t="str">
        <f t="shared" si="16"/>
        <v>Qtr3</v>
      </c>
      <c r="D479">
        <f t="shared" si="17"/>
        <v>2026</v>
      </c>
    </row>
    <row r="480" spans="1:4" x14ac:dyDescent="0.35">
      <c r="A480" s="2">
        <v>46317</v>
      </c>
      <c r="B480">
        <v>4271</v>
      </c>
      <c r="C480" t="str">
        <f t="shared" si="16"/>
        <v>Qtr3</v>
      </c>
      <c r="D480">
        <f t="shared" si="17"/>
        <v>2026</v>
      </c>
    </row>
    <row r="481" spans="1:4" x14ac:dyDescent="0.35">
      <c r="A481" s="2">
        <v>46318</v>
      </c>
      <c r="B481">
        <v>4460</v>
      </c>
      <c r="C481" t="str">
        <f t="shared" si="16"/>
        <v>Qtr3</v>
      </c>
      <c r="D481">
        <f t="shared" si="17"/>
        <v>2026</v>
      </c>
    </row>
    <row r="482" spans="1:4" x14ac:dyDescent="0.35">
      <c r="A482" s="2">
        <v>46319</v>
      </c>
      <c r="B482">
        <v>2602</v>
      </c>
      <c r="C482" t="str">
        <f t="shared" si="16"/>
        <v>Qtr3</v>
      </c>
      <c r="D482">
        <f t="shared" si="17"/>
        <v>2026</v>
      </c>
    </row>
    <row r="483" spans="1:4" x14ac:dyDescent="0.35">
      <c r="A483" s="2">
        <v>46320</v>
      </c>
      <c r="B483">
        <v>1919</v>
      </c>
      <c r="C483" t="str">
        <f t="shared" si="16"/>
        <v>Qtr3</v>
      </c>
      <c r="D483">
        <f t="shared" si="17"/>
        <v>2026</v>
      </c>
    </row>
    <row r="484" spans="1:4" x14ac:dyDescent="0.35">
      <c r="A484" s="2">
        <v>46321</v>
      </c>
      <c r="B484">
        <v>817</v>
      </c>
      <c r="C484" t="str">
        <f t="shared" si="16"/>
        <v>Qtr3</v>
      </c>
      <c r="D484">
        <f t="shared" si="17"/>
        <v>2026</v>
      </c>
    </row>
    <row r="485" spans="1:4" x14ac:dyDescent="0.35">
      <c r="A485" s="2">
        <v>46322</v>
      </c>
      <c r="B485">
        <v>2882</v>
      </c>
      <c r="C485" t="str">
        <f t="shared" si="16"/>
        <v>Qtr3</v>
      </c>
      <c r="D485">
        <f t="shared" si="17"/>
        <v>2026</v>
      </c>
    </row>
    <row r="486" spans="1:4" x14ac:dyDescent="0.35">
      <c r="A486" s="2">
        <v>46323</v>
      </c>
      <c r="B486">
        <v>3677</v>
      </c>
      <c r="C486" t="str">
        <f t="shared" si="16"/>
        <v>Qtr3</v>
      </c>
      <c r="D486">
        <f t="shared" si="17"/>
        <v>2026</v>
      </c>
    </row>
    <row r="487" spans="1:4" x14ac:dyDescent="0.35">
      <c r="A487" s="2">
        <v>46324</v>
      </c>
      <c r="B487">
        <v>243</v>
      </c>
      <c r="C487" t="str">
        <f t="shared" si="16"/>
        <v>Qtr3</v>
      </c>
      <c r="D487">
        <f t="shared" si="17"/>
        <v>2026</v>
      </c>
    </row>
    <row r="488" spans="1:4" x14ac:dyDescent="0.35">
      <c r="A488" s="2">
        <v>46325</v>
      </c>
      <c r="B488">
        <v>3240</v>
      </c>
      <c r="C488" t="str">
        <f t="shared" si="16"/>
        <v>Qtr3</v>
      </c>
      <c r="D488">
        <f t="shared" si="17"/>
        <v>2026</v>
      </c>
    </row>
    <row r="489" spans="1:4" x14ac:dyDescent="0.35">
      <c r="A489" s="2">
        <v>46326</v>
      </c>
      <c r="B489">
        <v>960</v>
      </c>
      <c r="C489" t="str">
        <f t="shared" si="16"/>
        <v>Qtr3</v>
      </c>
      <c r="D489">
        <f t="shared" si="17"/>
        <v>2026</v>
      </c>
    </row>
    <row r="490" spans="1:4" x14ac:dyDescent="0.35">
      <c r="A490" s="2">
        <v>46327</v>
      </c>
      <c r="B490">
        <v>3872</v>
      </c>
      <c r="C490" t="str">
        <f t="shared" si="16"/>
        <v>Qtr4</v>
      </c>
      <c r="D490">
        <f t="shared" si="17"/>
        <v>2026</v>
      </c>
    </row>
    <row r="491" spans="1:4" x14ac:dyDescent="0.35">
      <c r="A491" s="2">
        <v>46328</v>
      </c>
      <c r="B491">
        <v>3192</v>
      </c>
      <c r="C491" t="str">
        <f t="shared" si="16"/>
        <v>Qtr4</v>
      </c>
      <c r="D491">
        <f t="shared" si="17"/>
        <v>2026</v>
      </c>
    </row>
    <row r="492" spans="1:4" x14ac:dyDescent="0.35">
      <c r="A492" s="2">
        <v>46329</v>
      </c>
      <c r="B492">
        <v>566</v>
      </c>
      <c r="C492" t="str">
        <f t="shared" si="16"/>
        <v>Qtr4</v>
      </c>
      <c r="D492">
        <f t="shared" si="17"/>
        <v>2026</v>
      </c>
    </row>
    <row r="493" spans="1:4" x14ac:dyDescent="0.35">
      <c r="A493" s="2">
        <v>46330</v>
      </c>
      <c r="B493">
        <v>4526</v>
      </c>
      <c r="C493" t="str">
        <f t="shared" si="16"/>
        <v>Qtr4</v>
      </c>
      <c r="D493">
        <f t="shared" si="17"/>
        <v>2026</v>
      </c>
    </row>
    <row r="494" spans="1:4" x14ac:dyDescent="0.35">
      <c r="A494" s="2">
        <v>46331</v>
      </c>
      <c r="B494">
        <v>3544</v>
      </c>
      <c r="C494" t="str">
        <f t="shared" si="16"/>
        <v>Qtr4</v>
      </c>
      <c r="D494">
        <f t="shared" si="17"/>
        <v>2026</v>
      </c>
    </row>
    <row r="495" spans="1:4" x14ac:dyDescent="0.35">
      <c r="A495" s="2">
        <v>46332</v>
      </c>
      <c r="B495">
        <v>3271</v>
      </c>
      <c r="C495" t="str">
        <f t="shared" si="16"/>
        <v>Qtr4</v>
      </c>
      <c r="D495">
        <f t="shared" si="17"/>
        <v>2026</v>
      </c>
    </row>
    <row r="496" spans="1:4" x14ac:dyDescent="0.35">
      <c r="A496" s="2">
        <v>46333</v>
      </c>
      <c r="B496">
        <v>3019</v>
      </c>
      <c r="C496" t="str">
        <f t="shared" si="16"/>
        <v>Qtr4</v>
      </c>
      <c r="D496">
        <f t="shared" si="17"/>
        <v>2026</v>
      </c>
    </row>
    <row r="497" spans="1:4" x14ac:dyDescent="0.35">
      <c r="A497" s="2">
        <v>46334</v>
      </c>
      <c r="B497">
        <v>230</v>
      </c>
      <c r="C497" t="str">
        <f t="shared" si="16"/>
        <v>Qtr4</v>
      </c>
      <c r="D497">
        <f t="shared" si="17"/>
        <v>2026</v>
      </c>
    </row>
    <row r="498" spans="1:4" x14ac:dyDescent="0.35">
      <c r="A498" s="2">
        <v>46335</v>
      </c>
      <c r="B498">
        <v>1785</v>
      </c>
      <c r="C498" t="str">
        <f t="shared" si="16"/>
        <v>Qtr4</v>
      </c>
      <c r="D498">
        <f t="shared" si="17"/>
        <v>2026</v>
      </c>
    </row>
    <row r="499" spans="1:4" x14ac:dyDescent="0.35">
      <c r="A499" s="2">
        <v>46336</v>
      </c>
      <c r="B499">
        <v>869</v>
      </c>
      <c r="C499" t="str">
        <f t="shared" si="16"/>
        <v>Qtr4</v>
      </c>
      <c r="D499">
        <f t="shared" si="17"/>
        <v>2026</v>
      </c>
    </row>
    <row r="500" spans="1:4" x14ac:dyDescent="0.35">
      <c r="A500" s="2">
        <v>46337</v>
      </c>
      <c r="B500">
        <v>2491</v>
      </c>
      <c r="C500" t="str">
        <f t="shared" si="16"/>
        <v>Qtr4</v>
      </c>
      <c r="D500">
        <f t="shared" si="17"/>
        <v>2026</v>
      </c>
    </row>
    <row r="501" spans="1:4" x14ac:dyDescent="0.35">
      <c r="A501" s="2">
        <v>46338</v>
      </c>
      <c r="B501">
        <v>2533</v>
      </c>
      <c r="C501" t="str">
        <f t="shared" si="16"/>
        <v>Qtr4</v>
      </c>
      <c r="D501">
        <f t="shared" si="17"/>
        <v>2026</v>
      </c>
    </row>
    <row r="502" spans="1:4" x14ac:dyDescent="0.35">
      <c r="A502" s="2">
        <v>46339</v>
      </c>
      <c r="B502">
        <v>1284</v>
      </c>
      <c r="C502" t="str">
        <f t="shared" si="16"/>
        <v>Qtr4</v>
      </c>
      <c r="D502">
        <f t="shared" si="17"/>
        <v>2026</v>
      </c>
    </row>
    <row r="503" spans="1:4" x14ac:dyDescent="0.35">
      <c r="A503" s="2">
        <v>46340</v>
      </c>
      <c r="B503">
        <v>4655</v>
      </c>
      <c r="C503" t="str">
        <f t="shared" si="16"/>
        <v>Qtr4</v>
      </c>
      <c r="D503">
        <f t="shared" si="17"/>
        <v>2026</v>
      </c>
    </row>
    <row r="504" spans="1:4" x14ac:dyDescent="0.35">
      <c r="A504" s="2">
        <v>46341</v>
      </c>
      <c r="B504">
        <v>3485</v>
      </c>
      <c r="C504" t="str">
        <f t="shared" si="16"/>
        <v>Qtr4</v>
      </c>
      <c r="D504">
        <f t="shared" si="17"/>
        <v>2026</v>
      </c>
    </row>
    <row r="505" spans="1:4" x14ac:dyDescent="0.35">
      <c r="A505" s="2">
        <v>46342</v>
      </c>
      <c r="B505">
        <v>4217</v>
      </c>
      <c r="C505" t="str">
        <f t="shared" si="16"/>
        <v>Qtr4</v>
      </c>
      <c r="D505">
        <f t="shared" si="17"/>
        <v>2026</v>
      </c>
    </row>
    <row r="506" spans="1:4" x14ac:dyDescent="0.35">
      <c r="A506" s="2">
        <v>46343</v>
      </c>
      <c r="B506">
        <v>4943</v>
      </c>
      <c r="C506" t="str">
        <f t="shared" si="16"/>
        <v>Qtr4</v>
      </c>
      <c r="D506">
        <f t="shared" si="17"/>
        <v>2026</v>
      </c>
    </row>
    <row r="507" spans="1:4" x14ac:dyDescent="0.35">
      <c r="A507" s="2">
        <v>46344</v>
      </c>
      <c r="B507">
        <v>3004</v>
      </c>
      <c r="C507" t="str">
        <f t="shared" si="16"/>
        <v>Qtr4</v>
      </c>
      <c r="D507">
        <f t="shared" si="17"/>
        <v>2026</v>
      </c>
    </row>
    <row r="508" spans="1:4" x14ac:dyDescent="0.35">
      <c r="A508" s="2">
        <v>46345</v>
      </c>
      <c r="B508">
        <v>574</v>
      </c>
      <c r="C508" t="str">
        <f t="shared" si="16"/>
        <v>Qtr4</v>
      </c>
      <c r="D508">
        <f t="shared" si="17"/>
        <v>2026</v>
      </c>
    </row>
    <row r="509" spans="1:4" x14ac:dyDescent="0.35">
      <c r="A509" s="2">
        <v>46346</v>
      </c>
      <c r="B509">
        <v>1182</v>
      </c>
      <c r="C509" t="str">
        <f t="shared" si="16"/>
        <v>Qtr4</v>
      </c>
      <c r="D509">
        <f t="shared" si="17"/>
        <v>2026</v>
      </c>
    </row>
    <row r="510" spans="1:4" x14ac:dyDescent="0.35">
      <c r="A510" s="2">
        <v>46347</v>
      </c>
      <c r="B510">
        <v>2658</v>
      </c>
      <c r="C510" t="str">
        <f t="shared" si="16"/>
        <v>Qtr4</v>
      </c>
      <c r="D510">
        <f t="shared" si="17"/>
        <v>2026</v>
      </c>
    </row>
    <row r="511" spans="1:4" x14ac:dyDescent="0.35">
      <c r="A511" s="2">
        <v>46348</v>
      </c>
      <c r="B511">
        <v>2147</v>
      </c>
      <c r="C511" t="str">
        <f t="shared" si="16"/>
        <v>Qtr4</v>
      </c>
      <c r="D511">
        <f t="shared" si="17"/>
        <v>2026</v>
      </c>
    </row>
    <row r="512" spans="1:4" x14ac:dyDescent="0.35">
      <c r="A512" s="2">
        <v>46349</v>
      </c>
      <c r="B512">
        <v>2847</v>
      </c>
      <c r="C512" t="str">
        <f t="shared" si="16"/>
        <v>Qtr4</v>
      </c>
      <c r="D512">
        <f t="shared" si="17"/>
        <v>2026</v>
      </c>
    </row>
    <row r="513" spans="1:4" x14ac:dyDescent="0.35">
      <c r="A513" s="2">
        <v>46350</v>
      </c>
      <c r="B513">
        <v>1075</v>
      </c>
      <c r="C513" t="str">
        <f t="shared" si="16"/>
        <v>Qtr4</v>
      </c>
      <c r="D513">
        <f t="shared" si="17"/>
        <v>2026</v>
      </c>
    </row>
    <row r="514" spans="1:4" x14ac:dyDescent="0.35">
      <c r="A514" s="2">
        <v>46351</v>
      </c>
      <c r="B514">
        <v>1906</v>
      </c>
      <c r="C514" t="str">
        <f t="shared" si="16"/>
        <v>Qtr4</v>
      </c>
      <c r="D514">
        <f t="shared" si="17"/>
        <v>2026</v>
      </c>
    </row>
    <row r="515" spans="1:4" x14ac:dyDescent="0.35">
      <c r="A515" s="2">
        <v>46352</v>
      </c>
      <c r="B515">
        <v>289</v>
      </c>
      <c r="C515" t="str">
        <f t="shared" ref="C515:C550" si="18" xml:space="preserve"> "Qtr"&amp;ROUND(MONTH(A515)/3,0)</f>
        <v>Qtr4</v>
      </c>
      <c r="D515">
        <f t="shared" ref="D515:D550" si="19">YEAR(A515)</f>
        <v>2026</v>
      </c>
    </row>
    <row r="516" spans="1:4" x14ac:dyDescent="0.35">
      <c r="A516" s="2">
        <v>46353</v>
      </c>
      <c r="B516">
        <v>2834</v>
      </c>
      <c r="C516" t="str">
        <f t="shared" si="18"/>
        <v>Qtr4</v>
      </c>
      <c r="D516">
        <f t="shared" si="19"/>
        <v>2026</v>
      </c>
    </row>
    <row r="517" spans="1:4" x14ac:dyDescent="0.35">
      <c r="A517" s="2">
        <v>46354</v>
      </c>
      <c r="B517">
        <v>3105</v>
      </c>
      <c r="C517" t="str">
        <f t="shared" si="18"/>
        <v>Qtr4</v>
      </c>
      <c r="D517">
        <f t="shared" si="19"/>
        <v>2026</v>
      </c>
    </row>
    <row r="518" spans="1:4" x14ac:dyDescent="0.35">
      <c r="A518" s="2">
        <v>46355</v>
      </c>
      <c r="B518">
        <v>4758</v>
      </c>
      <c r="C518" t="str">
        <f t="shared" si="18"/>
        <v>Qtr4</v>
      </c>
      <c r="D518">
        <f t="shared" si="19"/>
        <v>2026</v>
      </c>
    </row>
    <row r="519" spans="1:4" x14ac:dyDescent="0.35">
      <c r="A519" s="2">
        <v>46356</v>
      </c>
      <c r="B519">
        <v>1999</v>
      </c>
      <c r="C519" t="str">
        <f t="shared" si="18"/>
        <v>Qtr4</v>
      </c>
      <c r="D519">
        <f t="shared" si="19"/>
        <v>2026</v>
      </c>
    </row>
    <row r="520" spans="1:4" x14ac:dyDescent="0.35">
      <c r="A520" s="2">
        <v>46357</v>
      </c>
      <c r="B520">
        <v>1367</v>
      </c>
      <c r="C520" t="str">
        <f t="shared" si="18"/>
        <v>Qtr4</v>
      </c>
      <c r="D520">
        <f t="shared" si="19"/>
        <v>2026</v>
      </c>
    </row>
    <row r="521" spans="1:4" x14ac:dyDescent="0.35">
      <c r="A521" s="2">
        <v>46358</v>
      </c>
      <c r="B521">
        <v>1628</v>
      </c>
      <c r="C521" t="str">
        <f t="shared" si="18"/>
        <v>Qtr4</v>
      </c>
      <c r="D521">
        <f t="shared" si="19"/>
        <v>2026</v>
      </c>
    </row>
    <row r="522" spans="1:4" x14ac:dyDescent="0.35">
      <c r="A522" s="2">
        <v>46359</v>
      </c>
      <c r="B522">
        <v>3302</v>
      </c>
      <c r="C522" t="str">
        <f t="shared" si="18"/>
        <v>Qtr4</v>
      </c>
      <c r="D522">
        <f t="shared" si="19"/>
        <v>2026</v>
      </c>
    </row>
    <row r="523" spans="1:4" x14ac:dyDescent="0.35">
      <c r="A523" s="2">
        <v>46360</v>
      </c>
      <c r="B523">
        <v>3656</v>
      </c>
      <c r="C523" t="str">
        <f t="shared" si="18"/>
        <v>Qtr4</v>
      </c>
      <c r="D523">
        <f t="shared" si="19"/>
        <v>2026</v>
      </c>
    </row>
    <row r="524" spans="1:4" x14ac:dyDescent="0.35">
      <c r="A524" s="2">
        <v>46361</v>
      </c>
      <c r="B524">
        <v>3990</v>
      </c>
      <c r="C524" t="str">
        <f t="shared" si="18"/>
        <v>Qtr4</v>
      </c>
      <c r="D524">
        <f t="shared" si="19"/>
        <v>2026</v>
      </c>
    </row>
    <row r="525" spans="1:4" x14ac:dyDescent="0.35">
      <c r="A525" s="2">
        <v>46362</v>
      </c>
      <c r="B525">
        <v>746</v>
      </c>
      <c r="C525" t="str">
        <f t="shared" si="18"/>
        <v>Qtr4</v>
      </c>
      <c r="D525">
        <f t="shared" si="19"/>
        <v>2026</v>
      </c>
    </row>
    <row r="526" spans="1:4" x14ac:dyDescent="0.35">
      <c r="A526" s="2">
        <v>46363</v>
      </c>
      <c r="B526">
        <v>2988</v>
      </c>
      <c r="C526" t="str">
        <f t="shared" si="18"/>
        <v>Qtr4</v>
      </c>
      <c r="D526">
        <f t="shared" si="19"/>
        <v>2026</v>
      </c>
    </row>
    <row r="527" spans="1:4" x14ac:dyDescent="0.35">
      <c r="A527" s="2">
        <v>46364</v>
      </c>
      <c r="B527">
        <v>2535</v>
      </c>
      <c r="C527" t="str">
        <f t="shared" si="18"/>
        <v>Qtr4</v>
      </c>
      <c r="D527">
        <f t="shared" si="19"/>
        <v>2026</v>
      </c>
    </row>
    <row r="528" spans="1:4" x14ac:dyDescent="0.35">
      <c r="A528" s="2">
        <v>46365</v>
      </c>
      <c r="B528">
        <v>700</v>
      </c>
      <c r="C528" t="str">
        <f t="shared" si="18"/>
        <v>Qtr4</v>
      </c>
      <c r="D528">
        <f t="shared" si="19"/>
        <v>2026</v>
      </c>
    </row>
    <row r="529" spans="1:4" x14ac:dyDescent="0.35">
      <c r="A529" s="2">
        <v>46366</v>
      </c>
      <c r="B529">
        <v>2463</v>
      </c>
      <c r="C529" t="str">
        <f t="shared" si="18"/>
        <v>Qtr4</v>
      </c>
      <c r="D529">
        <f t="shared" si="19"/>
        <v>2026</v>
      </c>
    </row>
    <row r="530" spans="1:4" x14ac:dyDescent="0.35">
      <c r="A530" s="2">
        <v>46367</v>
      </c>
      <c r="B530">
        <v>2161</v>
      </c>
      <c r="C530" t="str">
        <f t="shared" si="18"/>
        <v>Qtr4</v>
      </c>
      <c r="D530">
        <f t="shared" si="19"/>
        <v>2026</v>
      </c>
    </row>
    <row r="531" spans="1:4" x14ac:dyDescent="0.35">
      <c r="A531" s="2">
        <v>46368</v>
      </c>
      <c r="B531">
        <v>341</v>
      </c>
      <c r="C531" t="str">
        <f t="shared" si="18"/>
        <v>Qtr4</v>
      </c>
      <c r="D531">
        <f t="shared" si="19"/>
        <v>2026</v>
      </c>
    </row>
    <row r="532" spans="1:4" x14ac:dyDescent="0.35">
      <c r="A532" s="2">
        <v>46369</v>
      </c>
      <c r="B532">
        <v>2141</v>
      </c>
      <c r="C532" t="str">
        <f t="shared" si="18"/>
        <v>Qtr4</v>
      </c>
      <c r="D532">
        <f t="shared" si="19"/>
        <v>2026</v>
      </c>
    </row>
    <row r="533" spans="1:4" x14ac:dyDescent="0.35">
      <c r="A533" s="2">
        <v>46370</v>
      </c>
      <c r="B533">
        <v>2924</v>
      </c>
      <c r="C533" t="str">
        <f t="shared" si="18"/>
        <v>Qtr4</v>
      </c>
      <c r="D533">
        <f t="shared" si="19"/>
        <v>2026</v>
      </c>
    </row>
    <row r="534" spans="1:4" x14ac:dyDescent="0.35">
      <c r="A534" s="2">
        <v>46371</v>
      </c>
      <c r="B534">
        <v>2712</v>
      </c>
      <c r="C534" t="str">
        <f t="shared" si="18"/>
        <v>Qtr4</v>
      </c>
      <c r="D534">
        <f t="shared" si="19"/>
        <v>2026</v>
      </c>
    </row>
    <row r="535" spans="1:4" x14ac:dyDescent="0.35">
      <c r="A535" s="2">
        <v>46372</v>
      </c>
      <c r="B535">
        <v>1463</v>
      </c>
      <c r="C535" t="str">
        <f t="shared" si="18"/>
        <v>Qtr4</v>
      </c>
      <c r="D535">
        <f t="shared" si="19"/>
        <v>2026</v>
      </c>
    </row>
    <row r="536" spans="1:4" x14ac:dyDescent="0.35">
      <c r="A536" s="2">
        <v>46373</v>
      </c>
      <c r="B536">
        <v>1578</v>
      </c>
      <c r="C536" t="str">
        <f t="shared" si="18"/>
        <v>Qtr4</v>
      </c>
      <c r="D536">
        <f t="shared" si="19"/>
        <v>2026</v>
      </c>
    </row>
    <row r="537" spans="1:4" x14ac:dyDescent="0.35">
      <c r="A537" s="2">
        <v>46374</v>
      </c>
      <c r="B537">
        <v>2656</v>
      </c>
      <c r="C537" t="str">
        <f t="shared" si="18"/>
        <v>Qtr4</v>
      </c>
      <c r="D537">
        <f t="shared" si="19"/>
        <v>2026</v>
      </c>
    </row>
    <row r="538" spans="1:4" x14ac:dyDescent="0.35">
      <c r="A538" s="2">
        <v>46375</v>
      </c>
      <c r="B538">
        <v>875</v>
      </c>
      <c r="C538" t="str">
        <f t="shared" si="18"/>
        <v>Qtr4</v>
      </c>
      <c r="D538">
        <f t="shared" si="19"/>
        <v>2026</v>
      </c>
    </row>
    <row r="539" spans="1:4" x14ac:dyDescent="0.35">
      <c r="A539" s="2">
        <v>46376</v>
      </c>
      <c r="B539">
        <v>4114</v>
      </c>
      <c r="C539" t="str">
        <f t="shared" si="18"/>
        <v>Qtr4</v>
      </c>
      <c r="D539">
        <f t="shared" si="19"/>
        <v>2026</v>
      </c>
    </row>
    <row r="540" spans="1:4" x14ac:dyDescent="0.35">
      <c r="A540" s="2">
        <v>46377</v>
      </c>
      <c r="B540">
        <v>134</v>
      </c>
      <c r="C540" t="str">
        <f t="shared" si="18"/>
        <v>Qtr4</v>
      </c>
      <c r="D540">
        <f t="shared" si="19"/>
        <v>2026</v>
      </c>
    </row>
    <row r="541" spans="1:4" x14ac:dyDescent="0.35">
      <c r="A541" s="2">
        <v>46378</v>
      </c>
      <c r="B541">
        <v>3252</v>
      </c>
      <c r="C541" t="str">
        <f t="shared" si="18"/>
        <v>Qtr4</v>
      </c>
      <c r="D541">
        <f t="shared" si="19"/>
        <v>2026</v>
      </c>
    </row>
    <row r="542" spans="1:4" x14ac:dyDescent="0.35">
      <c r="A542" s="2">
        <v>46379</v>
      </c>
      <c r="B542">
        <v>2055</v>
      </c>
      <c r="C542" t="str">
        <f t="shared" si="18"/>
        <v>Qtr4</v>
      </c>
      <c r="D542">
        <f t="shared" si="19"/>
        <v>2026</v>
      </c>
    </row>
    <row r="543" spans="1:4" x14ac:dyDescent="0.35">
      <c r="A543" s="2">
        <v>46380</v>
      </c>
      <c r="B543">
        <v>1685</v>
      </c>
      <c r="C543" t="str">
        <f t="shared" si="18"/>
        <v>Qtr4</v>
      </c>
      <c r="D543">
        <f t="shared" si="19"/>
        <v>2026</v>
      </c>
    </row>
    <row r="544" spans="1:4" x14ac:dyDescent="0.35">
      <c r="A544" s="2">
        <v>46381</v>
      </c>
      <c r="B544">
        <v>4043</v>
      </c>
      <c r="C544" t="str">
        <f t="shared" si="18"/>
        <v>Qtr4</v>
      </c>
      <c r="D544">
        <f t="shared" si="19"/>
        <v>2026</v>
      </c>
    </row>
    <row r="545" spans="1:4" x14ac:dyDescent="0.35">
      <c r="A545" s="2">
        <v>46382</v>
      </c>
      <c r="B545">
        <v>3173</v>
      </c>
      <c r="C545" t="str">
        <f t="shared" si="18"/>
        <v>Qtr4</v>
      </c>
      <c r="D545">
        <f t="shared" si="19"/>
        <v>2026</v>
      </c>
    </row>
    <row r="546" spans="1:4" x14ac:dyDescent="0.35">
      <c r="A546" s="2">
        <v>46383</v>
      </c>
      <c r="B546">
        <v>1121</v>
      </c>
      <c r="C546" t="str">
        <f t="shared" si="18"/>
        <v>Qtr4</v>
      </c>
      <c r="D546">
        <f t="shared" si="19"/>
        <v>2026</v>
      </c>
    </row>
    <row r="547" spans="1:4" x14ac:dyDescent="0.35">
      <c r="A547" s="2">
        <v>46384</v>
      </c>
      <c r="B547">
        <v>3561</v>
      </c>
      <c r="C547" t="str">
        <f t="shared" si="18"/>
        <v>Qtr4</v>
      </c>
      <c r="D547">
        <f t="shared" si="19"/>
        <v>2026</v>
      </c>
    </row>
    <row r="548" spans="1:4" x14ac:dyDescent="0.35">
      <c r="A548" s="2">
        <v>46385</v>
      </c>
      <c r="B548">
        <v>2713</v>
      </c>
      <c r="C548" t="str">
        <f t="shared" si="18"/>
        <v>Qtr4</v>
      </c>
      <c r="D548">
        <f t="shared" si="19"/>
        <v>2026</v>
      </c>
    </row>
    <row r="549" spans="1:4" x14ac:dyDescent="0.35">
      <c r="A549" s="2">
        <v>46386</v>
      </c>
      <c r="B549">
        <v>3943</v>
      </c>
      <c r="C549" t="str">
        <f t="shared" si="18"/>
        <v>Qtr4</v>
      </c>
      <c r="D549">
        <f t="shared" si="19"/>
        <v>2026</v>
      </c>
    </row>
    <row r="550" spans="1:4" x14ac:dyDescent="0.35">
      <c r="A550" s="2">
        <v>46387</v>
      </c>
      <c r="B550">
        <v>1600</v>
      </c>
      <c r="C550" t="str">
        <f t="shared" si="18"/>
        <v>Qtr4</v>
      </c>
      <c r="D550">
        <f t="shared" si="19"/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0E21-FA60-4699-A8DE-AEDD8D74C531}">
  <dimension ref="A1:B550"/>
  <sheetViews>
    <sheetView workbookViewId="0">
      <selection activeCell="D21" sqref="D21"/>
    </sheetView>
  </sheetViews>
  <sheetFormatPr defaultRowHeight="14.5" x14ac:dyDescent="0.35"/>
  <cols>
    <col min="1" max="1" width="10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45839</v>
      </c>
      <c r="B2">
        <v>960</v>
      </c>
    </row>
    <row r="3" spans="1:2" x14ac:dyDescent="0.35">
      <c r="A3" s="2">
        <v>45840</v>
      </c>
      <c r="B3">
        <v>3872</v>
      </c>
    </row>
    <row r="4" spans="1:2" x14ac:dyDescent="0.35">
      <c r="A4" s="2">
        <v>45841</v>
      </c>
      <c r="B4">
        <v>3192</v>
      </c>
    </row>
    <row r="5" spans="1:2" x14ac:dyDescent="0.35">
      <c r="A5" s="2">
        <v>45842</v>
      </c>
      <c r="B5">
        <v>566</v>
      </c>
    </row>
    <row r="6" spans="1:2" x14ac:dyDescent="0.35">
      <c r="A6" s="2">
        <v>45843</v>
      </c>
      <c r="B6">
        <v>4526</v>
      </c>
    </row>
    <row r="7" spans="1:2" x14ac:dyDescent="0.35">
      <c r="A7" s="2">
        <v>45844</v>
      </c>
      <c r="B7">
        <v>3544</v>
      </c>
    </row>
    <row r="8" spans="1:2" x14ac:dyDescent="0.35">
      <c r="A8" s="2">
        <v>45845</v>
      </c>
      <c r="B8">
        <v>3271</v>
      </c>
    </row>
    <row r="9" spans="1:2" x14ac:dyDescent="0.35">
      <c r="A9" s="2">
        <v>45846</v>
      </c>
      <c r="B9">
        <v>3019</v>
      </c>
    </row>
    <row r="10" spans="1:2" x14ac:dyDescent="0.35">
      <c r="A10" s="2">
        <v>45847</v>
      </c>
      <c r="B10">
        <v>230</v>
      </c>
    </row>
    <row r="11" spans="1:2" x14ac:dyDescent="0.35">
      <c r="A11" s="2">
        <v>45848</v>
      </c>
      <c r="B11">
        <v>1785</v>
      </c>
    </row>
    <row r="12" spans="1:2" x14ac:dyDescent="0.35">
      <c r="A12" s="2">
        <v>45849</v>
      </c>
      <c r="B12">
        <v>869</v>
      </c>
    </row>
    <row r="13" spans="1:2" x14ac:dyDescent="0.35">
      <c r="A13" s="2">
        <v>45850</v>
      </c>
      <c r="B13">
        <v>2491</v>
      </c>
    </row>
    <row r="14" spans="1:2" x14ac:dyDescent="0.35">
      <c r="A14" s="2">
        <v>45851</v>
      </c>
      <c r="B14">
        <v>2533</v>
      </c>
    </row>
    <row r="15" spans="1:2" x14ac:dyDescent="0.35">
      <c r="A15" s="2">
        <v>45852</v>
      </c>
      <c r="B15">
        <v>1284</v>
      </c>
    </row>
    <row r="16" spans="1:2" x14ac:dyDescent="0.35">
      <c r="A16" s="2">
        <v>45853</v>
      </c>
      <c r="B16">
        <v>4655</v>
      </c>
    </row>
    <row r="17" spans="1:2" x14ac:dyDescent="0.35">
      <c r="A17" s="2">
        <v>45854</v>
      </c>
      <c r="B17">
        <v>3485</v>
      </c>
    </row>
    <row r="18" spans="1:2" x14ac:dyDescent="0.35">
      <c r="A18" s="2">
        <v>45855</v>
      </c>
      <c r="B18">
        <v>4217</v>
      </c>
    </row>
    <row r="19" spans="1:2" x14ac:dyDescent="0.35">
      <c r="A19" s="2">
        <v>45856</v>
      </c>
      <c r="B19">
        <v>4943</v>
      </c>
    </row>
    <row r="20" spans="1:2" x14ac:dyDescent="0.35">
      <c r="A20" s="2">
        <v>45857</v>
      </c>
      <c r="B20">
        <v>3004</v>
      </c>
    </row>
    <row r="21" spans="1:2" x14ac:dyDescent="0.35">
      <c r="A21" s="2">
        <v>45858</v>
      </c>
      <c r="B21">
        <v>574</v>
      </c>
    </row>
    <row r="22" spans="1:2" x14ac:dyDescent="0.35">
      <c r="A22" s="2">
        <v>45859</v>
      </c>
      <c r="B22">
        <v>1182</v>
      </c>
    </row>
    <row r="23" spans="1:2" x14ac:dyDescent="0.35">
      <c r="A23" s="2">
        <v>45860</v>
      </c>
      <c r="B23">
        <v>2658</v>
      </c>
    </row>
    <row r="24" spans="1:2" x14ac:dyDescent="0.35">
      <c r="A24" s="2">
        <v>45861</v>
      </c>
      <c r="B24">
        <v>2147</v>
      </c>
    </row>
    <row r="25" spans="1:2" x14ac:dyDescent="0.35">
      <c r="A25" s="2">
        <v>45862</v>
      </c>
      <c r="B25">
        <v>2847</v>
      </c>
    </row>
    <row r="26" spans="1:2" x14ac:dyDescent="0.35">
      <c r="A26" s="2">
        <v>45863</v>
      </c>
      <c r="B26">
        <v>1075</v>
      </c>
    </row>
    <row r="27" spans="1:2" x14ac:dyDescent="0.35">
      <c r="A27" s="2">
        <v>45864</v>
      </c>
      <c r="B27">
        <v>1906</v>
      </c>
    </row>
    <row r="28" spans="1:2" x14ac:dyDescent="0.35">
      <c r="A28" s="2">
        <v>45865</v>
      </c>
      <c r="B28">
        <v>289</v>
      </c>
    </row>
    <row r="29" spans="1:2" x14ac:dyDescent="0.35">
      <c r="A29" s="2">
        <v>45866</v>
      </c>
      <c r="B29">
        <v>2834</v>
      </c>
    </row>
    <row r="30" spans="1:2" x14ac:dyDescent="0.35">
      <c r="A30" s="2">
        <v>45867</v>
      </c>
      <c r="B30">
        <v>3105</v>
      </c>
    </row>
    <row r="31" spans="1:2" x14ac:dyDescent="0.35">
      <c r="A31" s="2">
        <v>45868</v>
      </c>
      <c r="B31">
        <v>4758</v>
      </c>
    </row>
    <row r="32" spans="1:2" x14ac:dyDescent="0.35">
      <c r="A32" s="2">
        <v>45869</v>
      </c>
      <c r="B32">
        <v>1999</v>
      </c>
    </row>
    <row r="33" spans="1:2" x14ac:dyDescent="0.35">
      <c r="A33" s="2">
        <v>45870</v>
      </c>
      <c r="B33">
        <v>1367</v>
      </c>
    </row>
    <row r="34" spans="1:2" x14ac:dyDescent="0.35">
      <c r="A34" s="2">
        <v>45871</v>
      </c>
      <c r="B34">
        <v>1628</v>
      </c>
    </row>
    <row r="35" spans="1:2" x14ac:dyDescent="0.35">
      <c r="A35" s="2">
        <v>45872</v>
      </c>
      <c r="B35">
        <v>3302</v>
      </c>
    </row>
    <row r="36" spans="1:2" x14ac:dyDescent="0.35">
      <c r="A36" s="2">
        <v>45873</v>
      </c>
      <c r="B36">
        <v>3656</v>
      </c>
    </row>
    <row r="37" spans="1:2" x14ac:dyDescent="0.35">
      <c r="A37" s="2">
        <v>45874</v>
      </c>
      <c r="B37">
        <v>3990</v>
      </c>
    </row>
    <row r="38" spans="1:2" x14ac:dyDescent="0.35">
      <c r="A38" s="2">
        <v>45875</v>
      </c>
      <c r="B38">
        <v>746</v>
      </c>
    </row>
    <row r="39" spans="1:2" x14ac:dyDescent="0.35">
      <c r="A39" s="2">
        <v>45876</v>
      </c>
      <c r="B39">
        <v>2988</v>
      </c>
    </row>
    <row r="40" spans="1:2" x14ac:dyDescent="0.35">
      <c r="A40" s="2">
        <v>45877</v>
      </c>
      <c r="B40">
        <v>2535</v>
      </c>
    </row>
    <row r="41" spans="1:2" x14ac:dyDescent="0.35">
      <c r="A41" s="2">
        <v>45878</v>
      </c>
      <c r="B41">
        <v>700</v>
      </c>
    </row>
    <row r="42" spans="1:2" x14ac:dyDescent="0.35">
      <c r="A42" s="2">
        <v>45879</v>
      </c>
      <c r="B42">
        <v>2463</v>
      </c>
    </row>
    <row r="43" spans="1:2" x14ac:dyDescent="0.35">
      <c r="A43" s="2">
        <v>45880</v>
      </c>
      <c r="B43">
        <v>2161</v>
      </c>
    </row>
    <row r="44" spans="1:2" x14ac:dyDescent="0.35">
      <c r="A44" s="2">
        <v>45881</v>
      </c>
      <c r="B44">
        <v>341</v>
      </c>
    </row>
    <row r="45" spans="1:2" x14ac:dyDescent="0.35">
      <c r="A45" s="2">
        <v>45882</v>
      </c>
      <c r="B45">
        <v>2141</v>
      </c>
    </row>
    <row r="46" spans="1:2" x14ac:dyDescent="0.35">
      <c r="A46" s="2">
        <v>45883</v>
      </c>
      <c r="B46">
        <v>2924</v>
      </c>
    </row>
    <row r="47" spans="1:2" x14ac:dyDescent="0.35">
      <c r="A47" s="2">
        <v>45884</v>
      </c>
      <c r="B47">
        <v>2712</v>
      </c>
    </row>
    <row r="48" spans="1:2" x14ac:dyDescent="0.35">
      <c r="A48" s="2">
        <v>45885</v>
      </c>
      <c r="B48">
        <v>1463</v>
      </c>
    </row>
    <row r="49" spans="1:2" x14ac:dyDescent="0.35">
      <c r="A49" s="2">
        <v>45886</v>
      </c>
      <c r="B49">
        <v>1578</v>
      </c>
    </row>
    <row r="50" spans="1:2" x14ac:dyDescent="0.35">
      <c r="A50" s="2">
        <v>45887</v>
      </c>
      <c r="B50">
        <v>2656</v>
      </c>
    </row>
    <row r="51" spans="1:2" x14ac:dyDescent="0.35">
      <c r="A51" s="2">
        <v>45888</v>
      </c>
      <c r="B51">
        <v>875</v>
      </c>
    </row>
    <row r="52" spans="1:2" x14ac:dyDescent="0.35">
      <c r="A52" s="2">
        <v>45889</v>
      </c>
      <c r="B52">
        <v>4114</v>
      </c>
    </row>
    <row r="53" spans="1:2" x14ac:dyDescent="0.35">
      <c r="A53" s="2">
        <v>45890</v>
      </c>
      <c r="B53">
        <v>134</v>
      </c>
    </row>
    <row r="54" spans="1:2" x14ac:dyDescent="0.35">
      <c r="A54" s="2">
        <v>45891</v>
      </c>
      <c r="B54">
        <v>3252</v>
      </c>
    </row>
    <row r="55" spans="1:2" x14ac:dyDescent="0.35">
      <c r="A55" s="2">
        <v>45892</v>
      </c>
      <c r="B55">
        <v>2055</v>
      </c>
    </row>
    <row r="56" spans="1:2" x14ac:dyDescent="0.35">
      <c r="A56" s="2">
        <v>45893</v>
      </c>
      <c r="B56">
        <v>1685</v>
      </c>
    </row>
    <row r="57" spans="1:2" x14ac:dyDescent="0.35">
      <c r="A57" s="2">
        <v>45894</v>
      </c>
      <c r="B57">
        <v>4043</v>
      </c>
    </row>
    <row r="58" spans="1:2" x14ac:dyDescent="0.35">
      <c r="A58" s="2">
        <v>45895</v>
      </c>
      <c r="B58">
        <v>3173</v>
      </c>
    </row>
    <row r="59" spans="1:2" x14ac:dyDescent="0.35">
      <c r="A59" s="2">
        <v>45896</v>
      </c>
      <c r="B59">
        <v>1121</v>
      </c>
    </row>
    <row r="60" spans="1:2" x14ac:dyDescent="0.35">
      <c r="A60" s="2">
        <v>45897</v>
      </c>
      <c r="B60">
        <v>3561</v>
      </c>
    </row>
    <row r="61" spans="1:2" x14ac:dyDescent="0.35">
      <c r="A61" s="2">
        <v>45898</v>
      </c>
      <c r="B61">
        <v>2713</v>
      </c>
    </row>
    <row r="62" spans="1:2" x14ac:dyDescent="0.35">
      <c r="A62" s="2">
        <v>45899</v>
      </c>
      <c r="B62">
        <v>3943</v>
      </c>
    </row>
    <row r="63" spans="1:2" x14ac:dyDescent="0.35">
      <c r="A63" s="2">
        <v>45900</v>
      </c>
      <c r="B63">
        <v>1600</v>
      </c>
    </row>
    <row r="64" spans="1:2" x14ac:dyDescent="0.35">
      <c r="A64" s="2">
        <v>45901</v>
      </c>
      <c r="B64">
        <v>4898</v>
      </c>
    </row>
    <row r="65" spans="1:2" x14ac:dyDescent="0.35">
      <c r="A65" s="2">
        <v>45902</v>
      </c>
      <c r="B65">
        <v>261</v>
      </c>
    </row>
    <row r="66" spans="1:2" x14ac:dyDescent="0.35">
      <c r="A66" s="2">
        <v>45903</v>
      </c>
      <c r="B66">
        <v>4397</v>
      </c>
    </row>
    <row r="67" spans="1:2" x14ac:dyDescent="0.35">
      <c r="A67" s="2">
        <v>45904</v>
      </c>
      <c r="B67">
        <v>2081</v>
      </c>
    </row>
    <row r="68" spans="1:2" x14ac:dyDescent="0.35">
      <c r="A68" s="2">
        <v>45905</v>
      </c>
      <c r="B68">
        <v>1095</v>
      </c>
    </row>
    <row r="69" spans="1:2" x14ac:dyDescent="0.35">
      <c r="A69" s="2">
        <v>45906</v>
      </c>
      <c r="B69">
        <v>3442</v>
      </c>
    </row>
    <row r="70" spans="1:2" x14ac:dyDescent="0.35">
      <c r="A70" s="2">
        <v>45907</v>
      </c>
      <c r="B70">
        <v>4651</v>
      </c>
    </row>
    <row r="71" spans="1:2" x14ac:dyDescent="0.35">
      <c r="A71" s="2">
        <v>45908</v>
      </c>
      <c r="B71">
        <v>3898</v>
      </c>
    </row>
    <row r="72" spans="1:2" x14ac:dyDescent="0.35">
      <c r="A72" s="2">
        <v>45909</v>
      </c>
      <c r="B72">
        <v>1375</v>
      </c>
    </row>
    <row r="73" spans="1:2" x14ac:dyDescent="0.35">
      <c r="A73" s="2">
        <v>45910</v>
      </c>
      <c r="B73">
        <v>1116</v>
      </c>
    </row>
    <row r="74" spans="1:2" x14ac:dyDescent="0.35">
      <c r="A74" s="2">
        <v>45911</v>
      </c>
      <c r="B74">
        <v>437</v>
      </c>
    </row>
    <row r="75" spans="1:2" x14ac:dyDescent="0.35">
      <c r="A75" s="2">
        <v>45912</v>
      </c>
      <c r="B75">
        <v>978</v>
      </c>
    </row>
    <row r="76" spans="1:2" x14ac:dyDescent="0.35">
      <c r="A76" s="2">
        <v>45913</v>
      </c>
      <c r="B76">
        <v>1176</v>
      </c>
    </row>
    <row r="77" spans="1:2" x14ac:dyDescent="0.35">
      <c r="A77" s="2">
        <v>45914</v>
      </c>
      <c r="B77">
        <v>4987</v>
      </c>
    </row>
    <row r="78" spans="1:2" x14ac:dyDescent="0.35">
      <c r="A78" s="2">
        <v>45915</v>
      </c>
      <c r="B78">
        <v>4093</v>
      </c>
    </row>
    <row r="79" spans="1:2" x14ac:dyDescent="0.35">
      <c r="A79" s="2">
        <v>45916</v>
      </c>
      <c r="B79">
        <v>4959</v>
      </c>
    </row>
    <row r="80" spans="1:2" x14ac:dyDescent="0.35">
      <c r="A80" s="2">
        <v>45917</v>
      </c>
      <c r="B80">
        <v>479</v>
      </c>
    </row>
    <row r="81" spans="1:2" x14ac:dyDescent="0.35">
      <c r="A81" s="2">
        <v>45918</v>
      </c>
      <c r="B81">
        <v>592</v>
      </c>
    </row>
    <row r="82" spans="1:2" x14ac:dyDescent="0.35">
      <c r="A82" s="2">
        <v>45919</v>
      </c>
      <c r="B82">
        <v>2162</v>
      </c>
    </row>
    <row r="83" spans="1:2" x14ac:dyDescent="0.35">
      <c r="A83" s="2">
        <v>45920</v>
      </c>
      <c r="B83">
        <v>3984</v>
      </c>
    </row>
    <row r="84" spans="1:2" x14ac:dyDescent="0.35">
      <c r="A84" s="2">
        <v>45921</v>
      </c>
      <c r="B84">
        <v>164</v>
      </c>
    </row>
    <row r="85" spans="1:2" x14ac:dyDescent="0.35">
      <c r="A85" s="2">
        <v>45922</v>
      </c>
      <c r="B85">
        <v>2668</v>
      </c>
    </row>
    <row r="86" spans="1:2" x14ac:dyDescent="0.35">
      <c r="A86" s="2">
        <v>45923</v>
      </c>
      <c r="B86">
        <v>2127</v>
      </c>
    </row>
    <row r="87" spans="1:2" x14ac:dyDescent="0.35">
      <c r="A87" s="2">
        <v>45924</v>
      </c>
      <c r="B87">
        <v>2795</v>
      </c>
    </row>
    <row r="88" spans="1:2" x14ac:dyDescent="0.35">
      <c r="A88" s="2">
        <v>45925</v>
      </c>
      <c r="B88">
        <v>1595</v>
      </c>
    </row>
    <row r="89" spans="1:2" x14ac:dyDescent="0.35">
      <c r="A89" s="2">
        <v>45926</v>
      </c>
      <c r="B89">
        <v>491</v>
      </c>
    </row>
    <row r="90" spans="1:2" x14ac:dyDescent="0.35">
      <c r="A90" s="2">
        <v>45927</v>
      </c>
      <c r="B90">
        <v>4614</v>
      </c>
    </row>
    <row r="91" spans="1:2" x14ac:dyDescent="0.35">
      <c r="A91" s="2">
        <v>45928</v>
      </c>
      <c r="B91">
        <v>4574</v>
      </c>
    </row>
    <row r="92" spans="1:2" x14ac:dyDescent="0.35">
      <c r="A92" s="2">
        <v>45929</v>
      </c>
      <c r="B92">
        <v>3661</v>
      </c>
    </row>
    <row r="93" spans="1:2" x14ac:dyDescent="0.35">
      <c r="A93" s="2">
        <v>45930</v>
      </c>
      <c r="B93">
        <v>2378</v>
      </c>
    </row>
    <row r="94" spans="1:2" x14ac:dyDescent="0.35">
      <c r="A94" s="2">
        <v>45931</v>
      </c>
      <c r="B94">
        <v>3199</v>
      </c>
    </row>
    <row r="95" spans="1:2" x14ac:dyDescent="0.35">
      <c r="A95" s="2">
        <v>45932</v>
      </c>
      <c r="B95">
        <v>300</v>
      </c>
    </row>
    <row r="96" spans="1:2" x14ac:dyDescent="0.35">
      <c r="A96" s="2">
        <v>45933</v>
      </c>
      <c r="B96">
        <v>4975</v>
      </c>
    </row>
    <row r="97" spans="1:2" x14ac:dyDescent="0.35">
      <c r="A97" s="2">
        <v>45934</v>
      </c>
      <c r="B97">
        <v>3204</v>
      </c>
    </row>
    <row r="98" spans="1:2" x14ac:dyDescent="0.35">
      <c r="A98" s="2">
        <v>45935</v>
      </c>
      <c r="B98">
        <v>4698</v>
      </c>
    </row>
    <row r="99" spans="1:2" x14ac:dyDescent="0.35">
      <c r="A99" s="2">
        <v>45936</v>
      </c>
      <c r="B99">
        <v>2554</v>
      </c>
    </row>
    <row r="100" spans="1:2" x14ac:dyDescent="0.35">
      <c r="A100" s="2">
        <v>45937</v>
      </c>
      <c r="B100">
        <v>3745</v>
      </c>
    </row>
    <row r="101" spans="1:2" x14ac:dyDescent="0.35">
      <c r="A101" s="2">
        <v>45938</v>
      </c>
      <c r="B101">
        <v>904</v>
      </c>
    </row>
    <row r="102" spans="1:2" x14ac:dyDescent="0.35">
      <c r="A102" s="2">
        <v>45939</v>
      </c>
      <c r="B102">
        <v>2831</v>
      </c>
    </row>
    <row r="103" spans="1:2" x14ac:dyDescent="0.35">
      <c r="A103" s="2">
        <v>45940</v>
      </c>
      <c r="B103">
        <v>2873</v>
      </c>
    </row>
    <row r="104" spans="1:2" x14ac:dyDescent="0.35">
      <c r="A104" s="2">
        <v>45941</v>
      </c>
      <c r="B104">
        <v>1670</v>
      </c>
    </row>
    <row r="105" spans="1:2" x14ac:dyDescent="0.35">
      <c r="A105" s="2">
        <v>45942</v>
      </c>
      <c r="B105">
        <v>2790</v>
      </c>
    </row>
    <row r="106" spans="1:2" x14ac:dyDescent="0.35">
      <c r="A106" s="2">
        <v>45943</v>
      </c>
      <c r="B106">
        <v>3940</v>
      </c>
    </row>
    <row r="107" spans="1:2" x14ac:dyDescent="0.35">
      <c r="A107" s="2">
        <v>45944</v>
      </c>
      <c r="B107">
        <v>1128</v>
      </c>
    </row>
    <row r="108" spans="1:2" x14ac:dyDescent="0.35">
      <c r="A108" s="2">
        <v>45945</v>
      </c>
      <c r="B108">
        <v>602</v>
      </c>
    </row>
    <row r="109" spans="1:2" x14ac:dyDescent="0.35">
      <c r="A109" s="2">
        <v>45946</v>
      </c>
      <c r="B109">
        <v>4593</v>
      </c>
    </row>
    <row r="110" spans="1:2" x14ac:dyDescent="0.35">
      <c r="A110" s="2">
        <v>45947</v>
      </c>
      <c r="B110">
        <v>970</v>
      </c>
    </row>
    <row r="111" spans="1:2" x14ac:dyDescent="0.35">
      <c r="A111" s="2">
        <v>45948</v>
      </c>
      <c r="B111">
        <v>4588</v>
      </c>
    </row>
    <row r="112" spans="1:2" x14ac:dyDescent="0.35">
      <c r="A112" s="2">
        <v>45949</v>
      </c>
      <c r="B112">
        <v>306</v>
      </c>
    </row>
    <row r="113" spans="1:2" x14ac:dyDescent="0.35">
      <c r="A113" s="2">
        <v>45950</v>
      </c>
      <c r="B113">
        <v>1584</v>
      </c>
    </row>
    <row r="114" spans="1:2" x14ac:dyDescent="0.35">
      <c r="A114" s="2">
        <v>45951</v>
      </c>
      <c r="B114">
        <v>963</v>
      </c>
    </row>
    <row r="115" spans="1:2" x14ac:dyDescent="0.35">
      <c r="A115" s="2">
        <v>45952</v>
      </c>
      <c r="B115">
        <v>2890</v>
      </c>
    </row>
    <row r="116" spans="1:2" x14ac:dyDescent="0.35">
      <c r="A116" s="2">
        <v>45953</v>
      </c>
      <c r="B116">
        <v>663</v>
      </c>
    </row>
    <row r="117" spans="1:2" x14ac:dyDescent="0.35">
      <c r="A117" s="2">
        <v>45954</v>
      </c>
      <c r="B117">
        <v>4291</v>
      </c>
    </row>
    <row r="118" spans="1:2" x14ac:dyDescent="0.35">
      <c r="A118" s="2">
        <v>45955</v>
      </c>
      <c r="B118">
        <v>1857</v>
      </c>
    </row>
    <row r="119" spans="1:2" x14ac:dyDescent="0.35">
      <c r="A119" s="2">
        <v>45956</v>
      </c>
      <c r="B119">
        <v>1778</v>
      </c>
    </row>
    <row r="120" spans="1:2" x14ac:dyDescent="0.35">
      <c r="A120" s="2">
        <v>45957</v>
      </c>
      <c r="B120">
        <v>3342</v>
      </c>
    </row>
    <row r="121" spans="1:2" x14ac:dyDescent="0.35">
      <c r="A121" s="2">
        <v>45958</v>
      </c>
      <c r="B121">
        <v>4736</v>
      </c>
    </row>
    <row r="122" spans="1:2" x14ac:dyDescent="0.35">
      <c r="A122" s="2">
        <v>45959</v>
      </c>
      <c r="B122">
        <v>1159</v>
      </c>
    </row>
    <row r="123" spans="1:2" x14ac:dyDescent="0.35">
      <c r="A123" s="2">
        <v>45960</v>
      </c>
      <c r="B123">
        <v>1822</v>
      </c>
    </row>
    <row r="124" spans="1:2" x14ac:dyDescent="0.35">
      <c r="A124" s="2">
        <v>45961</v>
      </c>
      <c r="B124">
        <v>3414</v>
      </c>
    </row>
    <row r="125" spans="1:2" x14ac:dyDescent="0.35">
      <c r="A125" s="2">
        <v>45962</v>
      </c>
      <c r="B125">
        <v>3257</v>
      </c>
    </row>
    <row r="126" spans="1:2" x14ac:dyDescent="0.35">
      <c r="A126" s="2">
        <v>45963</v>
      </c>
      <c r="B126">
        <v>2725</v>
      </c>
    </row>
    <row r="127" spans="1:2" x14ac:dyDescent="0.35">
      <c r="A127" s="2">
        <v>45964</v>
      </c>
      <c r="B127">
        <v>2829</v>
      </c>
    </row>
    <row r="128" spans="1:2" x14ac:dyDescent="0.35">
      <c r="A128" s="2">
        <v>45965</v>
      </c>
      <c r="B128">
        <v>1697</v>
      </c>
    </row>
    <row r="129" spans="1:2" x14ac:dyDescent="0.35">
      <c r="A129" s="2">
        <v>45966</v>
      </c>
      <c r="B129">
        <v>3160</v>
      </c>
    </row>
    <row r="130" spans="1:2" x14ac:dyDescent="0.35">
      <c r="A130" s="2">
        <v>45967</v>
      </c>
      <c r="B130">
        <v>2793</v>
      </c>
    </row>
    <row r="131" spans="1:2" x14ac:dyDescent="0.35">
      <c r="A131" s="2">
        <v>45968</v>
      </c>
      <c r="B131">
        <v>4991</v>
      </c>
    </row>
    <row r="132" spans="1:2" x14ac:dyDescent="0.35">
      <c r="A132" s="2">
        <v>45969</v>
      </c>
      <c r="B132">
        <v>3727</v>
      </c>
    </row>
    <row r="133" spans="1:2" x14ac:dyDescent="0.35">
      <c r="A133" s="2">
        <v>45970</v>
      </c>
      <c r="B133">
        <v>1463</v>
      </c>
    </row>
    <row r="134" spans="1:2" x14ac:dyDescent="0.35">
      <c r="A134" s="2">
        <v>45971</v>
      </c>
      <c r="B134">
        <v>2081</v>
      </c>
    </row>
    <row r="135" spans="1:2" x14ac:dyDescent="0.35">
      <c r="A135" s="2">
        <v>45972</v>
      </c>
      <c r="B135">
        <v>1763</v>
      </c>
    </row>
    <row r="136" spans="1:2" x14ac:dyDescent="0.35">
      <c r="A136" s="2">
        <v>45973</v>
      </c>
      <c r="B136">
        <v>1629</v>
      </c>
    </row>
    <row r="137" spans="1:2" x14ac:dyDescent="0.35">
      <c r="A137" s="2">
        <v>45974</v>
      </c>
      <c r="B137">
        <v>2138</v>
      </c>
    </row>
    <row r="138" spans="1:2" x14ac:dyDescent="0.35">
      <c r="A138" s="2">
        <v>45975</v>
      </c>
      <c r="B138">
        <v>3402</v>
      </c>
    </row>
    <row r="139" spans="1:2" x14ac:dyDescent="0.35">
      <c r="A139" s="2">
        <v>45976</v>
      </c>
      <c r="B139">
        <v>2337</v>
      </c>
    </row>
    <row r="140" spans="1:2" x14ac:dyDescent="0.35">
      <c r="A140" s="2">
        <v>45977</v>
      </c>
      <c r="B140">
        <v>1406</v>
      </c>
    </row>
    <row r="141" spans="1:2" x14ac:dyDescent="0.35">
      <c r="A141" s="2">
        <v>45978</v>
      </c>
      <c r="B141">
        <v>4129</v>
      </c>
    </row>
    <row r="142" spans="1:2" x14ac:dyDescent="0.35">
      <c r="A142" s="2">
        <v>45979</v>
      </c>
      <c r="B142">
        <v>2775</v>
      </c>
    </row>
    <row r="143" spans="1:2" x14ac:dyDescent="0.35">
      <c r="A143" s="2">
        <v>45980</v>
      </c>
      <c r="B143">
        <v>1382</v>
      </c>
    </row>
    <row r="144" spans="1:2" x14ac:dyDescent="0.35">
      <c r="A144" s="2">
        <v>45981</v>
      </c>
      <c r="B144">
        <v>809</v>
      </c>
    </row>
    <row r="145" spans="1:2" x14ac:dyDescent="0.35">
      <c r="A145" s="2">
        <v>45982</v>
      </c>
      <c r="B145">
        <v>4844</v>
      </c>
    </row>
    <row r="146" spans="1:2" x14ac:dyDescent="0.35">
      <c r="A146" s="2">
        <v>45983</v>
      </c>
      <c r="B146">
        <v>4513</v>
      </c>
    </row>
    <row r="147" spans="1:2" x14ac:dyDescent="0.35">
      <c r="A147" s="2">
        <v>45984</v>
      </c>
      <c r="B147">
        <v>3848</v>
      </c>
    </row>
    <row r="148" spans="1:2" x14ac:dyDescent="0.35">
      <c r="A148" s="2">
        <v>45985</v>
      </c>
      <c r="B148">
        <v>4879</v>
      </c>
    </row>
    <row r="149" spans="1:2" x14ac:dyDescent="0.35">
      <c r="A149" s="2">
        <v>45986</v>
      </c>
      <c r="B149">
        <v>763</v>
      </c>
    </row>
    <row r="150" spans="1:2" x14ac:dyDescent="0.35">
      <c r="A150" s="2">
        <v>45987</v>
      </c>
      <c r="B150">
        <v>2098</v>
      </c>
    </row>
    <row r="151" spans="1:2" x14ac:dyDescent="0.35">
      <c r="A151" s="2">
        <v>45988</v>
      </c>
      <c r="B151">
        <v>3545</v>
      </c>
    </row>
    <row r="152" spans="1:2" x14ac:dyDescent="0.35">
      <c r="A152" s="2">
        <v>45989</v>
      </c>
      <c r="B152">
        <v>3843</v>
      </c>
    </row>
    <row r="153" spans="1:2" x14ac:dyDescent="0.35">
      <c r="A153" s="2">
        <v>45990</v>
      </c>
      <c r="B153">
        <v>1595</v>
      </c>
    </row>
    <row r="154" spans="1:2" x14ac:dyDescent="0.35">
      <c r="A154" s="2">
        <v>45991</v>
      </c>
      <c r="B154">
        <v>3404</v>
      </c>
    </row>
    <row r="155" spans="1:2" x14ac:dyDescent="0.35">
      <c r="A155" s="2">
        <v>45992</v>
      </c>
      <c r="B155">
        <v>3863</v>
      </c>
    </row>
    <row r="156" spans="1:2" x14ac:dyDescent="0.35">
      <c r="A156" s="2">
        <v>45993</v>
      </c>
      <c r="B156">
        <v>1953</v>
      </c>
    </row>
    <row r="157" spans="1:2" x14ac:dyDescent="0.35">
      <c r="A157" s="2">
        <v>45994</v>
      </c>
      <c r="B157">
        <v>4759</v>
      </c>
    </row>
    <row r="158" spans="1:2" x14ac:dyDescent="0.35">
      <c r="A158" s="2">
        <v>45995</v>
      </c>
      <c r="B158">
        <v>1391</v>
      </c>
    </row>
    <row r="159" spans="1:2" x14ac:dyDescent="0.35">
      <c r="A159" s="2">
        <v>45996</v>
      </c>
      <c r="B159">
        <v>3681</v>
      </c>
    </row>
    <row r="160" spans="1:2" x14ac:dyDescent="0.35">
      <c r="A160" s="2">
        <v>45997</v>
      </c>
      <c r="B160">
        <v>3557</v>
      </c>
    </row>
    <row r="161" spans="1:2" x14ac:dyDescent="0.35">
      <c r="A161" s="2">
        <v>45998</v>
      </c>
      <c r="B161">
        <v>1736</v>
      </c>
    </row>
    <row r="162" spans="1:2" x14ac:dyDescent="0.35">
      <c r="A162" s="2">
        <v>45999</v>
      </c>
      <c r="B162">
        <v>3796</v>
      </c>
    </row>
    <row r="163" spans="1:2" x14ac:dyDescent="0.35">
      <c r="A163" s="2">
        <v>46000</v>
      </c>
      <c r="B163">
        <v>3099</v>
      </c>
    </row>
    <row r="164" spans="1:2" x14ac:dyDescent="0.35">
      <c r="A164" s="2">
        <v>46001</v>
      </c>
      <c r="B164">
        <v>3252</v>
      </c>
    </row>
    <row r="165" spans="1:2" x14ac:dyDescent="0.35">
      <c r="A165" s="2">
        <v>46002</v>
      </c>
      <c r="B165">
        <v>798</v>
      </c>
    </row>
    <row r="166" spans="1:2" x14ac:dyDescent="0.35">
      <c r="A166" s="2">
        <v>46003</v>
      </c>
      <c r="B166">
        <v>2260</v>
      </c>
    </row>
    <row r="167" spans="1:2" x14ac:dyDescent="0.35">
      <c r="A167" s="2">
        <v>46004</v>
      </c>
      <c r="B167">
        <v>4197</v>
      </c>
    </row>
    <row r="168" spans="1:2" x14ac:dyDescent="0.35">
      <c r="A168" s="2">
        <v>46005</v>
      </c>
      <c r="B168">
        <v>4837</v>
      </c>
    </row>
    <row r="169" spans="1:2" x14ac:dyDescent="0.35">
      <c r="A169" s="2">
        <v>46006</v>
      </c>
      <c r="B169">
        <v>954</v>
      </c>
    </row>
    <row r="170" spans="1:2" x14ac:dyDescent="0.35">
      <c r="A170" s="2">
        <v>46007</v>
      </c>
      <c r="B170">
        <v>3574</v>
      </c>
    </row>
    <row r="171" spans="1:2" x14ac:dyDescent="0.35">
      <c r="A171" s="2">
        <v>46008</v>
      </c>
      <c r="B171">
        <v>1807</v>
      </c>
    </row>
    <row r="172" spans="1:2" x14ac:dyDescent="0.35">
      <c r="A172" s="2">
        <v>46009</v>
      </c>
      <c r="B172">
        <v>2877</v>
      </c>
    </row>
    <row r="173" spans="1:2" x14ac:dyDescent="0.35">
      <c r="A173" s="2">
        <v>46010</v>
      </c>
      <c r="B173">
        <v>1833</v>
      </c>
    </row>
    <row r="174" spans="1:2" x14ac:dyDescent="0.35">
      <c r="A174" s="2">
        <v>46011</v>
      </c>
      <c r="B174">
        <v>3610</v>
      </c>
    </row>
    <row r="175" spans="1:2" x14ac:dyDescent="0.35">
      <c r="A175" s="2">
        <v>46012</v>
      </c>
      <c r="B175">
        <v>302</v>
      </c>
    </row>
    <row r="176" spans="1:2" x14ac:dyDescent="0.35">
      <c r="A176" s="2">
        <v>46013</v>
      </c>
      <c r="B176">
        <v>3355</v>
      </c>
    </row>
    <row r="177" spans="1:2" x14ac:dyDescent="0.35">
      <c r="A177" s="2">
        <v>46014</v>
      </c>
      <c r="B177">
        <v>4318</v>
      </c>
    </row>
    <row r="178" spans="1:2" x14ac:dyDescent="0.35">
      <c r="A178" s="2">
        <v>46015</v>
      </c>
      <c r="B178">
        <v>4596</v>
      </c>
    </row>
    <row r="179" spans="1:2" x14ac:dyDescent="0.35">
      <c r="A179" s="2">
        <v>46016</v>
      </c>
      <c r="B179">
        <v>866</v>
      </c>
    </row>
    <row r="180" spans="1:2" x14ac:dyDescent="0.35">
      <c r="A180" s="2">
        <v>46017</v>
      </c>
      <c r="B180">
        <v>4489</v>
      </c>
    </row>
    <row r="181" spans="1:2" x14ac:dyDescent="0.35">
      <c r="A181" s="2">
        <v>46018</v>
      </c>
      <c r="B181">
        <v>2427</v>
      </c>
    </row>
    <row r="182" spans="1:2" x14ac:dyDescent="0.35">
      <c r="A182" s="2">
        <v>46019</v>
      </c>
      <c r="B182">
        <v>3031</v>
      </c>
    </row>
    <row r="183" spans="1:2" x14ac:dyDescent="0.35">
      <c r="A183" s="2">
        <v>46020</v>
      </c>
      <c r="B183">
        <v>297</v>
      </c>
    </row>
    <row r="184" spans="1:2" x14ac:dyDescent="0.35">
      <c r="A184" s="2">
        <v>46021</v>
      </c>
      <c r="B184">
        <v>2030</v>
      </c>
    </row>
    <row r="185" spans="1:2" x14ac:dyDescent="0.35">
      <c r="A185" s="2">
        <v>46022</v>
      </c>
      <c r="B185">
        <v>3682</v>
      </c>
    </row>
    <row r="186" spans="1:2" x14ac:dyDescent="0.35">
      <c r="A186" s="2">
        <v>46023</v>
      </c>
      <c r="B186">
        <v>708</v>
      </c>
    </row>
    <row r="187" spans="1:2" x14ac:dyDescent="0.35">
      <c r="A187" s="2">
        <v>46024</v>
      </c>
      <c r="B187">
        <v>3372</v>
      </c>
    </row>
    <row r="188" spans="1:2" x14ac:dyDescent="0.35">
      <c r="A188" s="2">
        <v>46025</v>
      </c>
      <c r="B188">
        <v>1247</v>
      </c>
    </row>
    <row r="189" spans="1:2" x14ac:dyDescent="0.35">
      <c r="A189" s="2">
        <v>46026</v>
      </c>
      <c r="B189">
        <v>4382</v>
      </c>
    </row>
    <row r="190" spans="1:2" x14ac:dyDescent="0.35">
      <c r="A190" s="2">
        <v>46027</v>
      </c>
      <c r="B190">
        <v>3497</v>
      </c>
    </row>
    <row r="191" spans="1:2" x14ac:dyDescent="0.35">
      <c r="A191" s="2">
        <v>46028</v>
      </c>
      <c r="B191">
        <v>2611</v>
      </c>
    </row>
    <row r="192" spans="1:2" x14ac:dyDescent="0.35">
      <c r="A192" s="2">
        <v>46029</v>
      </c>
      <c r="B192">
        <v>1894</v>
      </c>
    </row>
    <row r="193" spans="1:2" x14ac:dyDescent="0.35">
      <c r="A193" s="2">
        <v>46030</v>
      </c>
      <c r="B193">
        <v>759</v>
      </c>
    </row>
    <row r="194" spans="1:2" x14ac:dyDescent="0.35">
      <c r="A194" s="2">
        <v>46031</v>
      </c>
      <c r="B194">
        <v>2911</v>
      </c>
    </row>
    <row r="195" spans="1:2" x14ac:dyDescent="0.35">
      <c r="A195" s="2">
        <v>46032</v>
      </c>
      <c r="B195">
        <v>1469</v>
      </c>
    </row>
    <row r="196" spans="1:2" x14ac:dyDescent="0.35">
      <c r="A196" s="2">
        <v>46033</v>
      </c>
      <c r="B196">
        <v>2086</v>
      </c>
    </row>
    <row r="197" spans="1:2" x14ac:dyDescent="0.35">
      <c r="A197" s="2">
        <v>46034</v>
      </c>
      <c r="B197">
        <v>246</v>
      </c>
    </row>
    <row r="198" spans="1:2" x14ac:dyDescent="0.35">
      <c r="A198" s="2">
        <v>46035</v>
      </c>
      <c r="B198">
        <v>3319</v>
      </c>
    </row>
    <row r="199" spans="1:2" x14ac:dyDescent="0.35">
      <c r="A199" s="2">
        <v>46036</v>
      </c>
      <c r="B199">
        <v>3011</v>
      </c>
    </row>
    <row r="200" spans="1:2" x14ac:dyDescent="0.35">
      <c r="A200" s="2">
        <v>46037</v>
      </c>
      <c r="B200">
        <v>1834</v>
      </c>
    </row>
    <row r="201" spans="1:2" x14ac:dyDescent="0.35">
      <c r="A201" s="2">
        <v>46038</v>
      </c>
      <c r="B201">
        <v>1943</v>
      </c>
    </row>
    <row r="202" spans="1:2" x14ac:dyDescent="0.35">
      <c r="A202" s="2">
        <v>46039</v>
      </c>
      <c r="B202">
        <v>588</v>
      </c>
    </row>
    <row r="203" spans="1:2" x14ac:dyDescent="0.35">
      <c r="A203" s="2">
        <v>46040</v>
      </c>
      <c r="B203">
        <v>3076</v>
      </c>
    </row>
    <row r="204" spans="1:2" x14ac:dyDescent="0.35">
      <c r="A204" s="2">
        <v>46041</v>
      </c>
      <c r="B204">
        <v>2059</v>
      </c>
    </row>
    <row r="205" spans="1:2" x14ac:dyDescent="0.35">
      <c r="A205" s="2">
        <v>46042</v>
      </c>
      <c r="B205">
        <v>2485</v>
      </c>
    </row>
    <row r="206" spans="1:2" x14ac:dyDescent="0.35">
      <c r="A206" s="2">
        <v>46043</v>
      </c>
      <c r="B206">
        <v>3019</v>
      </c>
    </row>
    <row r="207" spans="1:2" x14ac:dyDescent="0.35">
      <c r="A207" s="2">
        <v>46044</v>
      </c>
      <c r="B207">
        <v>4836</v>
      </c>
    </row>
    <row r="208" spans="1:2" x14ac:dyDescent="0.35">
      <c r="A208" s="2">
        <v>46045</v>
      </c>
      <c r="B208">
        <v>1902</v>
      </c>
    </row>
    <row r="209" spans="1:2" x14ac:dyDescent="0.35">
      <c r="A209" s="2">
        <v>46046</v>
      </c>
      <c r="B209">
        <v>4161</v>
      </c>
    </row>
    <row r="210" spans="1:2" x14ac:dyDescent="0.35">
      <c r="A210" s="2">
        <v>46047</v>
      </c>
      <c r="B210">
        <v>3469</v>
      </c>
    </row>
    <row r="211" spans="1:2" x14ac:dyDescent="0.35">
      <c r="A211" s="2">
        <v>46048</v>
      </c>
      <c r="B211">
        <v>362</v>
      </c>
    </row>
    <row r="212" spans="1:2" x14ac:dyDescent="0.35">
      <c r="A212" s="2">
        <v>46049</v>
      </c>
      <c r="B212">
        <v>723</v>
      </c>
    </row>
    <row r="213" spans="1:2" x14ac:dyDescent="0.35">
      <c r="A213" s="2">
        <v>46050</v>
      </c>
      <c r="B213">
        <v>1116</v>
      </c>
    </row>
    <row r="214" spans="1:2" x14ac:dyDescent="0.35">
      <c r="A214" s="2">
        <v>46051</v>
      </c>
      <c r="B214">
        <v>3743</v>
      </c>
    </row>
    <row r="215" spans="1:2" x14ac:dyDescent="0.35">
      <c r="A215" s="2">
        <v>46052</v>
      </c>
      <c r="B215">
        <v>2149</v>
      </c>
    </row>
    <row r="216" spans="1:2" x14ac:dyDescent="0.35">
      <c r="A216" s="2">
        <v>46053</v>
      </c>
      <c r="B216">
        <v>3823</v>
      </c>
    </row>
    <row r="217" spans="1:2" x14ac:dyDescent="0.35">
      <c r="A217" s="2">
        <v>46054</v>
      </c>
      <c r="B217">
        <v>4648</v>
      </c>
    </row>
    <row r="218" spans="1:2" x14ac:dyDescent="0.35">
      <c r="A218" s="2">
        <v>46055</v>
      </c>
      <c r="B218">
        <v>3208</v>
      </c>
    </row>
    <row r="219" spans="1:2" x14ac:dyDescent="0.35">
      <c r="A219" s="2">
        <v>46056</v>
      </c>
      <c r="B219">
        <v>4190</v>
      </c>
    </row>
    <row r="220" spans="1:2" x14ac:dyDescent="0.35">
      <c r="A220" s="2">
        <v>46057</v>
      </c>
      <c r="B220">
        <v>2156</v>
      </c>
    </row>
    <row r="221" spans="1:2" x14ac:dyDescent="0.35">
      <c r="A221" s="2">
        <v>46058</v>
      </c>
      <c r="B221">
        <v>3270</v>
      </c>
    </row>
    <row r="222" spans="1:2" x14ac:dyDescent="0.35">
      <c r="A222" s="2">
        <v>46059</v>
      </c>
      <c r="B222">
        <v>1782</v>
      </c>
    </row>
    <row r="223" spans="1:2" x14ac:dyDescent="0.35">
      <c r="A223" s="2">
        <v>46060</v>
      </c>
      <c r="B223">
        <v>2355</v>
      </c>
    </row>
    <row r="224" spans="1:2" x14ac:dyDescent="0.35">
      <c r="A224" s="2">
        <v>46061</v>
      </c>
      <c r="B224">
        <v>1254</v>
      </c>
    </row>
    <row r="225" spans="1:2" x14ac:dyDescent="0.35">
      <c r="A225" s="2">
        <v>46062</v>
      </c>
      <c r="B225">
        <v>4599</v>
      </c>
    </row>
    <row r="226" spans="1:2" x14ac:dyDescent="0.35">
      <c r="A226" s="2">
        <v>46063</v>
      </c>
      <c r="B226">
        <v>3291</v>
      </c>
    </row>
    <row r="227" spans="1:2" x14ac:dyDescent="0.35">
      <c r="A227" s="2">
        <v>46064</v>
      </c>
      <c r="B227">
        <v>1796</v>
      </c>
    </row>
    <row r="228" spans="1:2" x14ac:dyDescent="0.35">
      <c r="A228" s="2">
        <v>46065</v>
      </c>
      <c r="B228">
        <v>4091</v>
      </c>
    </row>
    <row r="229" spans="1:2" x14ac:dyDescent="0.35">
      <c r="A229" s="2">
        <v>46066</v>
      </c>
      <c r="B229">
        <v>4823</v>
      </c>
    </row>
    <row r="230" spans="1:2" x14ac:dyDescent="0.35">
      <c r="A230" s="2">
        <v>46067</v>
      </c>
      <c r="B230">
        <v>4782</v>
      </c>
    </row>
    <row r="231" spans="1:2" x14ac:dyDescent="0.35">
      <c r="A231" s="2">
        <v>46068</v>
      </c>
      <c r="B231">
        <v>1748</v>
      </c>
    </row>
    <row r="232" spans="1:2" x14ac:dyDescent="0.35">
      <c r="A232" s="2">
        <v>46069</v>
      </c>
      <c r="B232">
        <v>1545</v>
      </c>
    </row>
    <row r="233" spans="1:2" x14ac:dyDescent="0.35">
      <c r="A233" s="2">
        <v>46070</v>
      </c>
      <c r="B233">
        <v>4299</v>
      </c>
    </row>
    <row r="234" spans="1:2" x14ac:dyDescent="0.35">
      <c r="A234" s="2">
        <v>46071</v>
      </c>
      <c r="B234">
        <v>4023</v>
      </c>
    </row>
    <row r="235" spans="1:2" x14ac:dyDescent="0.35">
      <c r="A235" s="2">
        <v>46072</v>
      </c>
      <c r="B235">
        <v>353</v>
      </c>
    </row>
    <row r="236" spans="1:2" x14ac:dyDescent="0.35">
      <c r="A236" s="2">
        <v>46073</v>
      </c>
      <c r="B236">
        <v>3283</v>
      </c>
    </row>
    <row r="237" spans="1:2" x14ac:dyDescent="0.35">
      <c r="A237" s="2">
        <v>46074</v>
      </c>
      <c r="B237">
        <v>2657</v>
      </c>
    </row>
    <row r="238" spans="1:2" x14ac:dyDescent="0.35">
      <c r="A238" s="2">
        <v>46075</v>
      </c>
      <c r="B238">
        <v>198</v>
      </c>
    </row>
    <row r="239" spans="1:2" x14ac:dyDescent="0.35">
      <c r="A239" s="2">
        <v>46076</v>
      </c>
      <c r="B239">
        <v>2300</v>
      </c>
    </row>
    <row r="240" spans="1:2" x14ac:dyDescent="0.35">
      <c r="A240" s="2">
        <v>46077</v>
      </c>
      <c r="B240">
        <v>3061</v>
      </c>
    </row>
    <row r="241" spans="1:2" x14ac:dyDescent="0.35">
      <c r="A241" s="2">
        <v>46078</v>
      </c>
      <c r="B241">
        <v>4533</v>
      </c>
    </row>
    <row r="242" spans="1:2" x14ac:dyDescent="0.35">
      <c r="A242" s="2">
        <v>46079</v>
      </c>
      <c r="B242">
        <v>3877</v>
      </c>
    </row>
    <row r="243" spans="1:2" x14ac:dyDescent="0.35">
      <c r="A243" s="2">
        <v>46080</v>
      </c>
      <c r="B243">
        <v>2969</v>
      </c>
    </row>
    <row r="244" spans="1:2" x14ac:dyDescent="0.35">
      <c r="A244" s="2">
        <v>46081</v>
      </c>
      <c r="B244">
        <v>3334</v>
      </c>
    </row>
    <row r="245" spans="1:2" x14ac:dyDescent="0.35">
      <c r="A245" s="2">
        <v>46082</v>
      </c>
      <c r="B245">
        <v>3891</v>
      </c>
    </row>
    <row r="246" spans="1:2" x14ac:dyDescent="0.35">
      <c r="A246" s="2">
        <v>46083</v>
      </c>
      <c r="B246">
        <v>1056</v>
      </c>
    </row>
    <row r="247" spans="1:2" x14ac:dyDescent="0.35">
      <c r="A247" s="2">
        <v>46084</v>
      </c>
      <c r="B247">
        <v>4167</v>
      </c>
    </row>
    <row r="248" spans="1:2" x14ac:dyDescent="0.35">
      <c r="A248" s="2">
        <v>46085</v>
      </c>
      <c r="B248">
        <v>260</v>
      </c>
    </row>
    <row r="249" spans="1:2" x14ac:dyDescent="0.35">
      <c r="A249" s="2">
        <v>46086</v>
      </c>
      <c r="B249">
        <v>4593</v>
      </c>
    </row>
    <row r="250" spans="1:2" x14ac:dyDescent="0.35">
      <c r="A250" s="2">
        <v>46087</v>
      </c>
      <c r="B250">
        <v>1400</v>
      </c>
    </row>
    <row r="251" spans="1:2" x14ac:dyDescent="0.35">
      <c r="A251" s="2">
        <v>46088</v>
      </c>
      <c r="B251">
        <v>4087</v>
      </c>
    </row>
    <row r="252" spans="1:2" x14ac:dyDescent="0.35">
      <c r="A252" s="2">
        <v>46089</v>
      </c>
      <c r="B252">
        <v>1627</v>
      </c>
    </row>
    <row r="253" spans="1:2" x14ac:dyDescent="0.35">
      <c r="A253" s="2">
        <v>46090</v>
      </c>
      <c r="B253">
        <v>1318</v>
      </c>
    </row>
    <row r="254" spans="1:2" x14ac:dyDescent="0.35">
      <c r="A254" s="2">
        <v>46091</v>
      </c>
      <c r="B254">
        <v>4596</v>
      </c>
    </row>
    <row r="255" spans="1:2" x14ac:dyDescent="0.35">
      <c r="A255" s="2">
        <v>46092</v>
      </c>
      <c r="B255">
        <v>4835</v>
      </c>
    </row>
    <row r="256" spans="1:2" x14ac:dyDescent="0.35">
      <c r="A256" s="2">
        <v>46093</v>
      </c>
      <c r="B256">
        <v>3204</v>
      </c>
    </row>
    <row r="257" spans="1:2" x14ac:dyDescent="0.35">
      <c r="A257" s="2">
        <v>46094</v>
      </c>
      <c r="B257">
        <v>2835</v>
      </c>
    </row>
    <row r="258" spans="1:2" x14ac:dyDescent="0.35">
      <c r="A258" s="2">
        <v>46095</v>
      </c>
      <c r="B258">
        <v>4655</v>
      </c>
    </row>
    <row r="259" spans="1:2" x14ac:dyDescent="0.35">
      <c r="A259" s="2">
        <v>46096</v>
      </c>
      <c r="B259">
        <v>1054</v>
      </c>
    </row>
    <row r="260" spans="1:2" x14ac:dyDescent="0.35">
      <c r="A260" s="2">
        <v>46097</v>
      </c>
      <c r="B260">
        <v>4665</v>
      </c>
    </row>
    <row r="261" spans="1:2" x14ac:dyDescent="0.35">
      <c r="A261" s="2">
        <v>46098</v>
      </c>
      <c r="B261">
        <v>3546</v>
      </c>
    </row>
    <row r="262" spans="1:2" x14ac:dyDescent="0.35">
      <c r="A262" s="2">
        <v>46099</v>
      </c>
      <c r="B262">
        <v>1145</v>
      </c>
    </row>
    <row r="263" spans="1:2" x14ac:dyDescent="0.35">
      <c r="A263" s="2">
        <v>46100</v>
      </c>
      <c r="B263">
        <v>1793</v>
      </c>
    </row>
    <row r="264" spans="1:2" x14ac:dyDescent="0.35">
      <c r="A264" s="2">
        <v>46101</v>
      </c>
      <c r="B264">
        <v>3536</v>
      </c>
    </row>
    <row r="265" spans="1:2" x14ac:dyDescent="0.35">
      <c r="A265" s="2">
        <v>46102</v>
      </c>
      <c r="B265">
        <v>662</v>
      </c>
    </row>
    <row r="266" spans="1:2" x14ac:dyDescent="0.35">
      <c r="A266" s="2">
        <v>46103</v>
      </c>
      <c r="B266">
        <v>2585</v>
      </c>
    </row>
    <row r="267" spans="1:2" x14ac:dyDescent="0.35">
      <c r="A267" s="2">
        <v>46104</v>
      </c>
      <c r="B267">
        <v>3454</v>
      </c>
    </row>
    <row r="268" spans="1:2" x14ac:dyDescent="0.35">
      <c r="A268" s="2">
        <v>46105</v>
      </c>
      <c r="B268">
        <v>325</v>
      </c>
    </row>
    <row r="269" spans="1:2" x14ac:dyDescent="0.35">
      <c r="A269" s="2">
        <v>46106</v>
      </c>
      <c r="B269">
        <v>4993</v>
      </c>
    </row>
    <row r="270" spans="1:2" x14ac:dyDescent="0.35">
      <c r="A270" s="2">
        <v>46107</v>
      </c>
      <c r="B270">
        <v>1059</v>
      </c>
    </row>
    <row r="271" spans="1:2" x14ac:dyDescent="0.35">
      <c r="A271" s="2">
        <v>46108</v>
      </c>
      <c r="B271">
        <v>4648</v>
      </c>
    </row>
    <row r="272" spans="1:2" x14ac:dyDescent="0.35">
      <c r="A272" s="2">
        <v>46109</v>
      </c>
      <c r="B272">
        <v>3167</v>
      </c>
    </row>
    <row r="273" spans="1:2" x14ac:dyDescent="0.35">
      <c r="A273" s="2">
        <v>46110</v>
      </c>
      <c r="B273">
        <v>915</v>
      </c>
    </row>
    <row r="274" spans="1:2" x14ac:dyDescent="0.35">
      <c r="A274" s="2">
        <v>46111</v>
      </c>
      <c r="B274">
        <v>4854</v>
      </c>
    </row>
    <row r="275" spans="1:2" x14ac:dyDescent="0.35">
      <c r="A275" s="2">
        <v>46112</v>
      </c>
      <c r="B275">
        <v>4742</v>
      </c>
    </row>
    <row r="276" spans="1:2" x14ac:dyDescent="0.35">
      <c r="A276" s="2">
        <v>46113</v>
      </c>
      <c r="B276">
        <v>3220</v>
      </c>
    </row>
    <row r="277" spans="1:2" x14ac:dyDescent="0.35">
      <c r="A277" s="2">
        <v>46114</v>
      </c>
      <c r="B277">
        <v>116</v>
      </c>
    </row>
    <row r="278" spans="1:2" x14ac:dyDescent="0.35">
      <c r="A278" s="2">
        <v>46115</v>
      </c>
      <c r="B278">
        <v>1343</v>
      </c>
    </row>
    <row r="279" spans="1:2" x14ac:dyDescent="0.35">
      <c r="A279" s="2">
        <v>46116</v>
      </c>
      <c r="B279">
        <v>2305</v>
      </c>
    </row>
    <row r="280" spans="1:2" x14ac:dyDescent="0.35">
      <c r="A280" s="2">
        <v>46117</v>
      </c>
      <c r="B280">
        <v>2624</v>
      </c>
    </row>
    <row r="281" spans="1:2" x14ac:dyDescent="0.35">
      <c r="A281" s="2">
        <v>46118</v>
      </c>
      <c r="B281">
        <v>1169</v>
      </c>
    </row>
    <row r="282" spans="1:2" x14ac:dyDescent="0.35">
      <c r="A282" s="2">
        <v>46119</v>
      </c>
      <c r="B282">
        <v>3544</v>
      </c>
    </row>
    <row r="283" spans="1:2" x14ac:dyDescent="0.35">
      <c r="A283" s="2">
        <v>46120</v>
      </c>
      <c r="B283">
        <v>2665</v>
      </c>
    </row>
    <row r="284" spans="1:2" x14ac:dyDescent="0.35">
      <c r="A284" s="2">
        <v>46121</v>
      </c>
      <c r="B284">
        <v>1160</v>
      </c>
    </row>
    <row r="285" spans="1:2" x14ac:dyDescent="0.35">
      <c r="A285" s="2">
        <v>46122</v>
      </c>
      <c r="B285">
        <v>2427</v>
      </c>
    </row>
    <row r="286" spans="1:2" x14ac:dyDescent="0.35">
      <c r="A286" s="2">
        <v>46123</v>
      </c>
      <c r="B286">
        <v>3520</v>
      </c>
    </row>
    <row r="287" spans="1:2" x14ac:dyDescent="0.35">
      <c r="A287" s="2">
        <v>46124</v>
      </c>
      <c r="B287">
        <v>401</v>
      </c>
    </row>
    <row r="288" spans="1:2" x14ac:dyDescent="0.35">
      <c r="A288" s="2">
        <v>46125</v>
      </c>
      <c r="B288">
        <v>4376</v>
      </c>
    </row>
    <row r="289" spans="1:2" x14ac:dyDescent="0.35">
      <c r="A289" s="2">
        <v>46126</v>
      </c>
      <c r="B289">
        <v>706</v>
      </c>
    </row>
    <row r="290" spans="1:2" x14ac:dyDescent="0.35">
      <c r="A290" s="2">
        <v>46127</v>
      </c>
      <c r="B290">
        <v>3270</v>
      </c>
    </row>
    <row r="291" spans="1:2" x14ac:dyDescent="0.35">
      <c r="A291" s="2">
        <v>46128</v>
      </c>
      <c r="B291">
        <v>799</v>
      </c>
    </row>
    <row r="292" spans="1:2" x14ac:dyDescent="0.35">
      <c r="A292" s="2">
        <v>46129</v>
      </c>
      <c r="B292">
        <v>1239</v>
      </c>
    </row>
    <row r="293" spans="1:2" x14ac:dyDescent="0.35">
      <c r="A293" s="2">
        <v>46130</v>
      </c>
      <c r="B293">
        <v>290</v>
      </c>
    </row>
    <row r="294" spans="1:2" x14ac:dyDescent="0.35">
      <c r="A294" s="2">
        <v>46131</v>
      </c>
      <c r="B294">
        <v>2400</v>
      </c>
    </row>
    <row r="295" spans="1:2" x14ac:dyDescent="0.35">
      <c r="A295" s="2">
        <v>46132</v>
      </c>
      <c r="B295">
        <v>1080</v>
      </c>
    </row>
    <row r="296" spans="1:2" x14ac:dyDescent="0.35">
      <c r="A296" s="2">
        <v>46133</v>
      </c>
      <c r="B296">
        <v>3075</v>
      </c>
    </row>
    <row r="297" spans="1:2" x14ac:dyDescent="0.35">
      <c r="A297" s="2">
        <v>46134</v>
      </c>
      <c r="B297">
        <v>1284</v>
      </c>
    </row>
    <row r="298" spans="1:2" x14ac:dyDescent="0.35">
      <c r="A298" s="2">
        <v>46135</v>
      </c>
      <c r="B298">
        <v>3427</v>
      </c>
    </row>
    <row r="299" spans="1:2" x14ac:dyDescent="0.35">
      <c r="A299" s="2">
        <v>46136</v>
      </c>
      <c r="B299">
        <v>3494</v>
      </c>
    </row>
    <row r="300" spans="1:2" x14ac:dyDescent="0.35">
      <c r="A300" s="2">
        <v>46137</v>
      </c>
      <c r="B300">
        <v>227</v>
      </c>
    </row>
    <row r="301" spans="1:2" x14ac:dyDescent="0.35">
      <c r="A301" s="2">
        <v>46138</v>
      </c>
      <c r="B301">
        <v>2165</v>
      </c>
    </row>
    <row r="302" spans="1:2" x14ac:dyDescent="0.35">
      <c r="A302" s="2">
        <v>46139</v>
      </c>
      <c r="B302">
        <v>1916</v>
      </c>
    </row>
    <row r="303" spans="1:2" x14ac:dyDescent="0.35">
      <c r="A303" s="2">
        <v>46140</v>
      </c>
      <c r="B303">
        <v>669</v>
      </c>
    </row>
    <row r="304" spans="1:2" x14ac:dyDescent="0.35">
      <c r="A304" s="2">
        <v>46141</v>
      </c>
      <c r="B304">
        <v>1995</v>
      </c>
    </row>
    <row r="305" spans="1:2" x14ac:dyDescent="0.35">
      <c r="A305" s="2">
        <v>46142</v>
      </c>
      <c r="B305">
        <v>2833</v>
      </c>
    </row>
    <row r="306" spans="1:2" x14ac:dyDescent="0.35">
      <c r="A306" s="2">
        <v>46143</v>
      </c>
      <c r="B306">
        <v>3963</v>
      </c>
    </row>
    <row r="307" spans="1:2" x14ac:dyDescent="0.35">
      <c r="A307" s="2">
        <v>46144</v>
      </c>
      <c r="B307">
        <v>4821</v>
      </c>
    </row>
    <row r="308" spans="1:2" x14ac:dyDescent="0.35">
      <c r="A308" s="2">
        <v>46145</v>
      </c>
      <c r="B308">
        <v>4114</v>
      </c>
    </row>
    <row r="309" spans="1:2" x14ac:dyDescent="0.35">
      <c r="A309" s="2">
        <v>46146</v>
      </c>
      <c r="B309">
        <v>3001</v>
      </c>
    </row>
    <row r="310" spans="1:2" x14ac:dyDescent="0.35">
      <c r="A310" s="2">
        <v>46147</v>
      </c>
      <c r="B310">
        <v>1786</v>
      </c>
    </row>
    <row r="311" spans="1:2" x14ac:dyDescent="0.35">
      <c r="A311" s="2">
        <v>46148</v>
      </c>
      <c r="B311">
        <v>3109</v>
      </c>
    </row>
    <row r="312" spans="1:2" x14ac:dyDescent="0.35">
      <c r="A312" s="2">
        <v>46149</v>
      </c>
      <c r="B312">
        <v>254</v>
      </c>
    </row>
    <row r="313" spans="1:2" x14ac:dyDescent="0.35">
      <c r="A313" s="2">
        <v>46150</v>
      </c>
      <c r="B313">
        <v>2637</v>
      </c>
    </row>
    <row r="314" spans="1:2" x14ac:dyDescent="0.35">
      <c r="A314" s="2">
        <v>46151</v>
      </c>
      <c r="B314">
        <v>1509</v>
      </c>
    </row>
    <row r="315" spans="1:2" x14ac:dyDescent="0.35">
      <c r="A315" s="2">
        <v>46152</v>
      </c>
      <c r="B315">
        <v>4157</v>
      </c>
    </row>
    <row r="316" spans="1:2" x14ac:dyDescent="0.35">
      <c r="A316" s="2">
        <v>46153</v>
      </c>
      <c r="B316">
        <v>884</v>
      </c>
    </row>
    <row r="317" spans="1:2" x14ac:dyDescent="0.35">
      <c r="A317" s="2">
        <v>46154</v>
      </c>
      <c r="B317">
        <v>3275</v>
      </c>
    </row>
    <row r="318" spans="1:2" x14ac:dyDescent="0.35">
      <c r="A318" s="2">
        <v>46155</v>
      </c>
      <c r="B318">
        <v>4441</v>
      </c>
    </row>
    <row r="319" spans="1:2" x14ac:dyDescent="0.35">
      <c r="A319" s="2">
        <v>46156</v>
      </c>
      <c r="B319">
        <v>2906</v>
      </c>
    </row>
    <row r="320" spans="1:2" x14ac:dyDescent="0.35">
      <c r="A320" s="2">
        <v>46157</v>
      </c>
      <c r="B320">
        <v>637</v>
      </c>
    </row>
    <row r="321" spans="1:2" x14ac:dyDescent="0.35">
      <c r="A321" s="2">
        <v>46158</v>
      </c>
      <c r="B321">
        <v>1941</v>
      </c>
    </row>
    <row r="322" spans="1:2" x14ac:dyDescent="0.35">
      <c r="A322" s="2">
        <v>46159</v>
      </c>
      <c r="B322">
        <v>2555</v>
      </c>
    </row>
    <row r="323" spans="1:2" x14ac:dyDescent="0.35">
      <c r="A323" s="2">
        <v>46160</v>
      </c>
      <c r="B323">
        <v>624</v>
      </c>
    </row>
    <row r="324" spans="1:2" x14ac:dyDescent="0.35">
      <c r="A324" s="2">
        <v>46161</v>
      </c>
      <c r="B324">
        <v>3050</v>
      </c>
    </row>
    <row r="325" spans="1:2" x14ac:dyDescent="0.35">
      <c r="A325" s="2">
        <v>46162</v>
      </c>
      <c r="B325">
        <v>4231</v>
      </c>
    </row>
    <row r="326" spans="1:2" x14ac:dyDescent="0.35">
      <c r="A326" s="2">
        <v>46163</v>
      </c>
      <c r="B326">
        <v>4880</v>
      </c>
    </row>
    <row r="327" spans="1:2" x14ac:dyDescent="0.35">
      <c r="A327" s="2">
        <v>46164</v>
      </c>
      <c r="B327">
        <v>4215</v>
      </c>
    </row>
    <row r="328" spans="1:2" x14ac:dyDescent="0.35">
      <c r="A328" s="2">
        <v>46165</v>
      </c>
      <c r="B328">
        <v>2468</v>
      </c>
    </row>
    <row r="329" spans="1:2" x14ac:dyDescent="0.35">
      <c r="A329" s="2">
        <v>46166</v>
      </c>
      <c r="B329">
        <v>3947</v>
      </c>
    </row>
    <row r="330" spans="1:2" x14ac:dyDescent="0.35">
      <c r="A330" s="2">
        <v>46167</v>
      </c>
      <c r="B330">
        <v>4595</v>
      </c>
    </row>
    <row r="331" spans="1:2" x14ac:dyDescent="0.35">
      <c r="A331" s="2">
        <v>46168</v>
      </c>
      <c r="B331">
        <v>2801</v>
      </c>
    </row>
    <row r="332" spans="1:2" x14ac:dyDescent="0.35">
      <c r="A332" s="2">
        <v>46169</v>
      </c>
      <c r="B332">
        <v>1071</v>
      </c>
    </row>
    <row r="333" spans="1:2" x14ac:dyDescent="0.35">
      <c r="A333" s="2">
        <v>46170</v>
      </c>
      <c r="B333">
        <v>1266</v>
      </c>
    </row>
    <row r="334" spans="1:2" x14ac:dyDescent="0.35">
      <c r="A334" s="2">
        <v>46171</v>
      </c>
      <c r="B334">
        <v>2874</v>
      </c>
    </row>
    <row r="335" spans="1:2" x14ac:dyDescent="0.35">
      <c r="A335" s="2">
        <v>46172</v>
      </c>
      <c r="B335">
        <v>2082</v>
      </c>
    </row>
    <row r="336" spans="1:2" x14ac:dyDescent="0.35">
      <c r="A336" s="2">
        <v>46173</v>
      </c>
      <c r="B336">
        <v>953</v>
      </c>
    </row>
    <row r="337" spans="1:2" x14ac:dyDescent="0.35">
      <c r="A337" s="2">
        <v>46174</v>
      </c>
      <c r="B337">
        <v>4246</v>
      </c>
    </row>
    <row r="338" spans="1:2" x14ac:dyDescent="0.35">
      <c r="A338" s="2">
        <v>46175</v>
      </c>
      <c r="B338">
        <v>3836</v>
      </c>
    </row>
    <row r="339" spans="1:2" x14ac:dyDescent="0.35">
      <c r="A339" s="2">
        <v>46176</v>
      </c>
      <c r="B339">
        <v>3869</v>
      </c>
    </row>
    <row r="340" spans="1:2" x14ac:dyDescent="0.35">
      <c r="A340" s="2">
        <v>46177</v>
      </c>
      <c r="B340">
        <v>674</v>
      </c>
    </row>
    <row r="341" spans="1:2" x14ac:dyDescent="0.35">
      <c r="A341" s="2">
        <v>46178</v>
      </c>
      <c r="B341">
        <v>3361</v>
      </c>
    </row>
    <row r="342" spans="1:2" x14ac:dyDescent="0.35">
      <c r="A342" s="2">
        <v>46179</v>
      </c>
      <c r="B342">
        <v>1248</v>
      </c>
    </row>
    <row r="343" spans="1:2" x14ac:dyDescent="0.35">
      <c r="A343" s="2">
        <v>46180</v>
      </c>
      <c r="B343">
        <v>1815</v>
      </c>
    </row>
    <row r="344" spans="1:2" x14ac:dyDescent="0.35">
      <c r="A344" s="2">
        <v>46181</v>
      </c>
      <c r="B344">
        <v>4877</v>
      </c>
    </row>
    <row r="345" spans="1:2" x14ac:dyDescent="0.35">
      <c r="A345" s="2">
        <v>46182</v>
      </c>
      <c r="B345">
        <v>3954</v>
      </c>
    </row>
    <row r="346" spans="1:2" x14ac:dyDescent="0.35">
      <c r="A346" s="2">
        <v>46183</v>
      </c>
      <c r="B346">
        <v>2591</v>
      </c>
    </row>
    <row r="347" spans="1:2" x14ac:dyDescent="0.35">
      <c r="A347" s="2">
        <v>46184</v>
      </c>
      <c r="B347">
        <v>2760</v>
      </c>
    </row>
    <row r="348" spans="1:2" x14ac:dyDescent="0.35">
      <c r="A348" s="2">
        <v>46185</v>
      </c>
      <c r="B348">
        <v>3224</v>
      </c>
    </row>
    <row r="349" spans="1:2" x14ac:dyDescent="0.35">
      <c r="A349" s="2">
        <v>46186</v>
      </c>
      <c r="B349">
        <v>3151</v>
      </c>
    </row>
    <row r="350" spans="1:2" x14ac:dyDescent="0.35">
      <c r="A350" s="2">
        <v>46187</v>
      </c>
      <c r="B350">
        <v>104</v>
      </c>
    </row>
    <row r="351" spans="1:2" x14ac:dyDescent="0.35">
      <c r="A351" s="2">
        <v>46188</v>
      </c>
      <c r="B351">
        <v>4969</v>
      </c>
    </row>
    <row r="352" spans="1:2" x14ac:dyDescent="0.35">
      <c r="A352" s="2">
        <v>46189</v>
      </c>
      <c r="B352">
        <v>976</v>
      </c>
    </row>
    <row r="353" spans="1:2" x14ac:dyDescent="0.35">
      <c r="A353" s="2">
        <v>46190</v>
      </c>
      <c r="B353">
        <v>1091</v>
      </c>
    </row>
    <row r="354" spans="1:2" x14ac:dyDescent="0.35">
      <c r="A354" s="2">
        <v>46191</v>
      </c>
      <c r="B354">
        <v>4242</v>
      </c>
    </row>
    <row r="355" spans="1:2" x14ac:dyDescent="0.35">
      <c r="A355" s="2">
        <v>46192</v>
      </c>
      <c r="B355">
        <v>4464</v>
      </c>
    </row>
    <row r="356" spans="1:2" x14ac:dyDescent="0.35">
      <c r="A356" s="2">
        <v>46193</v>
      </c>
      <c r="B356">
        <v>4565</v>
      </c>
    </row>
    <row r="357" spans="1:2" x14ac:dyDescent="0.35">
      <c r="A357" s="2">
        <v>46194</v>
      </c>
      <c r="B357">
        <v>735</v>
      </c>
    </row>
    <row r="358" spans="1:2" x14ac:dyDescent="0.35">
      <c r="A358" s="2">
        <v>46195</v>
      </c>
      <c r="B358">
        <v>1793</v>
      </c>
    </row>
    <row r="359" spans="1:2" x14ac:dyDescent="0.35">
      <c r="A359" s="2">
        <v>46196</v>
      </c>
      <c r="B359">
        <v>1782</v>
      </c>
    </row>
    <row r="360" spans="1:2" x14ac:dyDescent="0.35">
      <c r="A360" s="2">
        <v>46197</v>
      </c>
      <c r="B360">
        <v>4852</v>
      </c>
    </row>
    <row r="361" spans="1:2" x14ac:dyDescent="0.35">
      <c r="A361" s="2">
        <v>46198</v>
      </c>
      <c r="B361">
        <v>219</v>
      </c>
    </row>
    <row r="362" spans="1:2" x14ac:dyDescent="0.35">
      <c r="A362" s="2">
        <v>46199</v>
      </c>
      <c r="B362">
        <v>930</v>
      </c>
    </row>
    <row r="363" spans="1:2" x14ac:dyDescent="0.35">
      <c r="A363" s="2">
        <v>46200</v>
      </c>
      <c r="B363">
        <v>3775</v>
      </c>
    </row>
    <row r="364" spans="1:2" x14ac:dyDescent="0.35">
      <c r="A364" s="2">
        <v>46201</v>
      </c>
      <c r="B364">
        <v>1469</v>
      </c>
    </row>
    <row r="365" spans="1:2" x14ac:dyDescent="0.35">
      <c r="A365" s="2">
        <v>46202</v>
      </c>
      <c r="B365">
        <v>840</v>
      </c>
    </row>
    <row r="366" spans="1:2" x14ac:dyDescent="0.35">
      <c r="A366" s="2">
        <v>46203</v>
      </c>
      <c r="B366">
        <v>216</v>
      </c>
    </row>
    <row r="367" spans="1:2" x14ac:dyDescent="0.35">
      <c r="A367" s="2">
        <v>46204</v>
      </c>
      <c r="B367">
        <v>2938</v>
      </c>
    </row>
    <row r="368" spans="1:2" x14ac:dyDescent="0.35">
      <c r="A368" s="2">
        <v>46205</v>
      </c>
      <c r="B368">
        <v>1250</v>
      </c>
    </row>
    <row r="369" spans="1:2" x14ac:dyDescent="0.35">
      <c r="A369" s="2">
        <v>46206</v>
      </c>
      <c r="B369">
        <v>2031</v>
      </c>
    </row>
    <row r="370" spans="1:2" x14ac:dyDescent="0.35">
      <c r="A370" s="2">
        <v>46207</v>
      </c>
      <c r="B370">
        <v>1112</v>
      </c>
    </row>
    <row r="371" spans="1:2" x14ac:dyDescent="0.35">
      <c r="A371" s="2">
        <v>46208</v>
      </c>
      <c r="B371">
        <v>1764</v>
      </c>
    </row>
    <row r="372" spans="1:2" x14ac:dyDescent="0.35">
      <c r="A372" s="2">
        <v>46209</v>
      </c>
      <c r="B372">
        <v>1181</v>
      </c>
    </row>
    <row r="373" spans="1:2" x14ac:dyDescent="0.35">
      <c r="A373" s="2">
        <v>46210</v>
      </c>
      <c r="B373">
        <v>4829</v>
      </c>
    </row>
    <row r="374" spans="1:2" x14ac:dyDescent="0.35">
      <c r="A374" s="2">
        <v>46211</v>
      </c>
      <c r="B374">
        <v>612</v>
      </c>
    </row>
    <row r="375" spans="1:2" x14ac:dyDescent="0.35">
      <c r="A375" s="2">
        <v>46212</v>
      </c>
      <c r="B375">
        <v>2949</v>
      </c>
    </row>
    <row r="376" spans="1:2" x14ac:dyDescent="0.35">
      <c r="A376" s="2">
        <v>46213</v>
      </c>
      <c r="B376">
        <v>659</v>
      </c>
    </row>
    <row r="377" spans="1:2" x14ac:dyDescent="0.35">
      <c r="A377" s="2">
        <v>46214</v>
      </c>
      <c r="B377">
        <v>3772</v>
      </c>
    </row>
    <row r="378" spans="1:2" x14ac:dyDescent="0.35">
      <c r="A378" s="2">
        <v>46215</v>
      </c>
      <c r="B378">
        <v>4683</v>
      </c>
    </row>
    <row r="379" spans="1:2" x14ac:dyDescent="0.35">
      <c r="A379" s="2">
        <v>46216</v>
      </c>
      <c r="B379">
        <v>3443</v>
      </c>
    </row>
    <row r="380" spans="1:2" x14ac:dyDescent="0.35">
      <c r="A380" s="2">
        <v>46217</v>
      </c>
      <c r="B380">
        <v>4170</v>
      </c>
    </row>
    <row r="381" spans="1:2" x14ac:dyDescent="0.35">
      <c r="A381" s="2">
        <v>46218</v>
      </c>
      <c r="B381">
        <v>4899</v>
      </c>
    </row>
    <row r="382" spans="1:2" x14ac:dyDescent="0.35">
      <c r="A382" s="2">
        <v>46219</v>
      </c>
      <c r="B382">
        <v>1570</v>
      </c>
    </row>
    <row r="383" spans="1:2" x14ac:dyDescent="0.35">
      <c r="A383" s="2">
        <v>46220</v>
      </c>
      <c r="B383">
        <v>680</v>
      </c>
    </row>
    <row r="384" spans="1:2" x14ac:dyDescent="0.35">
      <c r="A384" s="2">
        <v>46221</v>
      </c>
      <c r="B384">
        <v>2394</v>
      </c>
    </row>
    <row r="385" spans="1:2" x14ac:dyDescent="0.35">
      <c r="A385" s="2">
        <v>46222</v>
      </c>
      <c r="B385">
        <v>3247</v>
      </c>
    </row>
    <row r="386" spans="1:2" x14ac:dyDescent="0.35">
      <c r="A386" s="2">
        <v>46223</v>
      </c>
      <c r="B386">
        <v>4349</v>
      </c>
    </row>
    <row r="387" spans="1:2" x14ac:dyDescent="0.35">
      <c r="A387" s="2">
        <v>46224</v>
      </c>
      <c r="B387">
        <v>1779</v>
      </c>
    </row>
    <row r="388" spans="1:2" x14ac:dyDescent="0.35">
      <c r="A388" s="2">
        <v>46225</v>
      </c>
      <c r="B388">
        <v>3606</v>
      </c>
    </row>
    <row r="389" spans="1:2" x14ac:dyDescent="0.35">
      <c r="A389" s="2">
        <v>46226</v>
      </c>
      <c r="B389">
        <v>2844</v>
      </c>
    </row>
    <row r="390" spans="1:2" x14ac:dyDescent="0.35">
      <c r="A390" s="2">
        <v>46227</v>
      </c>
      <c r="B390">
        <v>3456</v>
      </c>
    </row>
    <row r="391" spans="1:2" x14ac:dyDescent="0.35">
      <c r="A391" s="2">
        <v>46228</v>
      </c>
      <c r="B391">
        <v>4145</v>
      </c>
    </row>
    <row r="392" spans="1:2" x14ac:dyDescent="0.35">
      <c r="A392" s="2">
        <v>46229</v>
      </c>
      <c r="B392">
        <v>1343</v>
      </c>
    </row>
    <row r="393" spans="1:2" x14ac:dyDescent="0.35">
      <c r="A393" s="2">
        <v>46230</v>
      </c>
      <c r="B393">
        <v>3218</v>
      </c>
    </row>
    <row r="394" spans="1:2" x14ac:dyDescent="0.35">
      <c r="A394" s="2">
        <v>46231</v>
      </c>
      <c r="B394">
        <v>2241</v>
      </c>
    </row>
    <row r="395" spans="1:2" x14ac:dyDescent="0.35">
      <c r="A395" s="2">
        <v>46232</v>
      </c>
      <c r="B395">
        <v>3159</v>
      </c>
    </row>
    <row r="396" spans="1:2" x14ac:dyDescent="0.35">
      <c r="A396" s="2">
        <v>46233</v>
      </c>
      <c r="B396">
        <v>4648</v>
      </c>
    </row>
    <row r="397" spans="1:2" x14ac:dyDescent="0.35">
      <c r="A397" s="2">
        <v>46234</v>
      </c>
      <c r="B397">
        <v>3059</v>
      </c>
    </row>
    <row r="398" spans="1:2" x14ac:dyDescent="0.35">
      <c r="A398" s="2">
        <v>46235</v>
      </c>
      <c r="B398">
        <v>2365</v>
      </c>
    </row>
    <row r="399" spans="1:2" x14ac:dyDescent="0.35">
      <c r="A399" s="2">
        <v>46236</v>
      </c>
      <c r="B399">
        <v>2579</v>
      </c>
    </row>
    <row r="400" spans="1:2" x14ac:dyDescent="0.35">
      <c r="A400" s="2">
        <v>46237</v>
      </c>
      <c r="B400">
        <v>4746</v>
      </c>
    </row>
    <row r="401" spans="1:2" x14ac:dyDescent="0.35">
      <c r="A401" s="2">
        <v>46238</v>
      </c>
      <c r="B401">
        <v>1735</v>
      </c>
    </row>
    <row r="402" spans="1:2" x14ac:dyDescent="0.35">
      <c r="A402" s="2">
        <v>46239</v>
      </c>
      <c r="B402">
        <v>1857</v>
      </c>
    </row>
    <row r="403" spans="1:2" x14ac:dyDescent="0.35">
      <c r="A403" s="2">
        <v>46240</v>
      </c>
      <c r="B403">
        <v>4552</v>
      </c>
    </row>
    <row r="404" spans="1:2" x14ac:dyDescent="0.35">
      <c r="A404" s="2">
        <v>46241</v>
      </c>
      <c r="B404">
        <v>2170</v>
      </c>
    </row>
    <row r="405" spans="1:2" x14ac:dyDescent="0.35">
      <c r="A405" s="2">
        <v>46242</v>
      </c>
      <c r="B405">
        <v>2949</v>
      </c>
    </row>
    <row r="406" spans="1:2" x14ac:dyDescent="0.35">
      <c r="A406" s="2">
        <v>46243</v>
      </c>
      <c r="B406">
        <v>3351</v>
      </c>
    </row>
    <row r="407" spans="1:2" x14ac:dyDescent="0.35">
      <c r="A407" s="2">
        <v>46244</v>
      </c>
      <c r="B407">
        <v>3830</v>
      </c>
    </row>
    <row r="408" spans="1:2" x14ac:dyDescent="0.35">
      <c r="A408" s="2">
        <v>46245</v>
      </c>
      <c r="B408">
        <v>2589</v>
      </c>
    </row>
    <row r="409" spans="1:2" x14ac:dyDescent="0.35">
      <c r="A409" s="2">
        <v>46246</v>
      </c>
      <c r="B409">
        <v>1731</v>
      </c>
    </row>
    <row r="410" spans="1:2" x14ac:dyDescent="0.35">
      <c r="A410" s="2">
        <v>46247</v>
      </c>
      <c r="B410">
        <v>2916</v>
      </c>
    </row>
    <row r="411" spans="1:2" x14ac:dyDescent="0.35">
      <c r="A411" s="2">
        <v>46248</v>
      </c>
      <c r="B411">
        <v>1115</v>
      </c>
    </row>
    <row r="412" spans="1:2" x14ac:dyDescent="0.35">
      <c r="A412" s="2">
        <v>46249</v>
      </c>
      <c r="B412">
        <v>1448</v>
      </c>
    </row>
    <row r="413" spans="1:2" x14ac:dyDescent="0.35">
      <c r="A413" s="2">
        <v>46250</v>
      </c>
      <c r="B413">
        <v>4711</v>
      </c>
    </row>
    <row r="414" spans="1:2" x14ac:dyDescent="0.35">
      <c r="A414" s="2">
        <v>46251</v>
      </c>
      <c r="B414">
        <v>3187</v>
      </c>
    </row>
    <row r="415" spans="1:2" x14ac:dyDescent="0.35">
      <c r="A415" s="2">
        <v>46252</v>
      </c>
      <c r="B415">
        <v>2939</v>
      </c>
    </row>
    <row r="416" spans="1:2" x14ac:dyDescent="0.35">
      <c r="A416" s="2">
        <v>46253</v>
      </c>
      <c r="B416">
        <v>435</v>
      </c>
    </row>
    <row r="417" spans="1:2" x14ac:dyDescent="0.35">
      <c r="A417" s="2">
        <v>46254</v>
      </c>
      <c r="B417">
        <v>4692</v>
      </c>
    </row>
    <row r="418" spans="1:2" x14ac:dyDescent="0.35">
      <c r="A418" s="2">
        <v>46255</v>
      </c>
      <c r="B418">
        <v>995</v>
      </c>
    </row>
    <row r="419" spans="1:2" x14ac:dyDescent="0.35">
      <c r="A419" s="2">
        <v>46256</v>
      </c>
      <c r="B419">
        <v>3646</v>
      </c>
    </row>
    <row r="420" spans="1:2" x14ac:dyDescent="0.35">
      <c r="A420" s="2">
        <v>46257</v>
      </c>
      <c r="B420">
        <v>951</v>
      </c>
    </row>
    <row r="421" spans="1:2" x14ac:dyDescent="0.35">
      <c r="A421" s="2">
        <v>46258</v>
      </c>
      <c r="B421">
        <v>1787</v>
      </c>
    </row>
    <row r="422" spans="1:2" x14ac:dyDescent="0.35">
      <c r="A422" s="2">
        <v>46259</v>
      </c>
      <c r="B422">
        <v>2031</v>
      </c>
    </row>
    <row r="423" spans="1:2" x14ac:dyDescent="0.35">
      <c r="A423" s="2">
        <v>46260</v>
      </c>
      <c r="B423">
        <v>3846</v>
      </c>
    </row>
    <row r="424" spans="1:2" x14ac:dyDescent="0.35">
      <c r="A424" s="2">
        <v>46261</v>
      </c>
      <c r="B424">
        <v>2527</v>
      </c>
    </row>
    <row r="425" spans="1:2" x14ac:dyDescent="0.35">
      <c r="A425" s="2">
        <v>46262</v>
      </c>
      <c r="B425">
        <v>1668</v>
      </c>
    </row>
    <row r="426" spans="1:2" x14ac:dyDescent="0.35">
      <c r="A426" s="2">
        <v>46263</v>
      </c>
      <c r="B426">
        <v>4100</v>
      </c>
    </row>
    <row r="427" spans="1:2" x14ac:dyDescent="0.35">
      <c r="A427" s="2">
        <v>46264</v>
      </c>
      <c r="B427">
        <v>2838</v>
      </c>
    </row>
    <row r="428" spans="1:2" x14ac:dyDescent="0.35">
      <c r="A428" s="2">
        <v>46265</v>
      </c>
      <c r="B428">
        <v>3598</v>
      </c>
    </row>
    <row r="429" spans="1:2" x14ac:dyDescent="0.35">
      <c r="A429" s="2">
        <v>46266</v>
      </c>
      <c r="B429">
        <v>4013</v>
      </c>
    </row>
    <row r="430" spans="1:2" x14ac:dyDescent="0.35">
      <c r="A430" s="2">
        <v>46267</v>
      </c>
      <c r="B430">
        <v>1166</v>
      </c>
    </row>
    <row r="431" spans="1:2" x14ac:dyDescent="0.35">
      <c r="A431" s="2">
        <v>46268</v>
      </c>
      <c r="B431">
        <v>4480</v>
      </c>
    </row>
    <row r="432" spans="1:2" x14ac:dyDescent="0.35">
      <c r="A432" s="2">
        <v>46269</v>
      </c>
      <c r="B432">
        <v>2544</v>
      </c>
    </row>
    <row r="433" spans="1:2" x14ac:dyDescent="0.35">
      <c r="A433" s="2">
        <v>46270</v>
      </c>
      <c r="B433">
        <v>4207</v>
      </c>
    </row>
    <row r="434" spans="1:2" x14ac:dyDescent="0.35">
      <c r="A434" s="2">
        <v>46271</v>
      </c>
      <c r="B434">
        <v>3473</v>
      </c>
    </row>
    <row r="435" spans="1:2" x14ac:dyDescent="0.35">
      <c r="A435" s="2">
        <v>46272</v>
      </c>
      <c r="B435">
        <v>4069</v>
      </c>
    </row>
    <row r="436" spans="1:2" x14ac:dyDescent="0.35">
      <c r="A436" s="2">
        <v>46273</v>
      </c>
      <c r="B436">
        <v>2646</v>
      </c>
    </row>
    <row r="437" spans="1:2" x14ac:dyDescent="0.35">
      <c r="A437" s="2">
        <v>46274</v>
      </c>
      <c r="B437">
        <v>853</v>
      </c>
    </row>
    <row r="438" spans="1:2" x14ac:dyDescent="0.35">
      <c r="A438" s="2">
        <v>46275</v>
      </c>
      <c r="B438">
        <v>2182</v>
      </c>
    </row>
    <row r="439" spans="1:2" x14ac:dyDescent="0.35">
      <c r="A439" s="2">
        <v>46276</v>
      </c>
      <c r="B439">
        <v>2874</v>
      </c>
    </row>
    <row r="440" spans="1:2" x14ac:dyDescent="0.35">
      <c r="A440" s="2">
        <v>46277</v>
      </c>
      <c r="B440">
        <v>2996</v>
      </c>
    </row>
    <row r="441" spans="1:2" x14ac:dyDescent="0.35">
      <c r="A441" s="2">
        <v>46278</v>
      </c>
      <c r="B441">
        <v>4285</v>
      </c>
    </row>
    <row r="442" spans="1:2" x14ac:dyDescent="0.35">
      <c r="A442" s="2">
        <v>46279</v>
      </c>
      <c r="B442">
        <v>875</v>
      </c>
    </row>
    <row r="443" spans="1:2" x14ac:dyDescent="0.35">
      <c r="A443" s="2">
        <v>46280</v>
      </c>
      <c r="B443">
        <v>1725</v>
      </c>
    </row>
    <row r="444" spans="1:2" x14ac:dyDescent="0.35">
      <c r="A444" s="2">
        <v>46281</v>
      </c>
      <c r="B444">
        <v>3169</v>
      </c>
    </row>
    <row r="445" spans="1:2" x14ac:dyDescent="0.35">
      <c r="A445" s="2">
        <v>46282</v>
      </c>
      <c r="B445">
        <v>517</v>
      </c>
    </row>
    <row r="446" spans="1:2" x14ac:dyDescent="0.35">
      <c r="A446" s="2">
        <v>46283</v>
      </c>
      <c r="B446">
        <v>214</v>
      </c>
    </row>
    <row r="447" spans="1:2" x14ac:dyDescent="0.35">
      <c r="A447" s="2">
        <v>46284</v>
      </c>
      <c r="B447">
        <v>716</v>
      </c>
    </row>
    <row r="448" spans="1:2" x14ac:dyDescent="0.35">
      <c r="A448" s="2">
        <v>46285</v>
      </c>
      <c r="B448">
        <v>4074</v>
      </c>
    </row>
    <row r="449" spans="1:2" x14ac:dyDescent="0.35">
      <c r="A449" s="2">
        <v>46286</v>
      </c>
      <c r="B449">
        <v>3367</v>
      </c>
    </row>
    <row r="450" spans="1:2" x14ac:dyDescent="0.35">
      <c r="A450" s="2">
        <v>46287</v>
      </c>
      <c r="B450">
        <v>925</v>
      </c>
    </row>
    <row r="451" spans="1:2" x14ac:dyDescent="0.35">
      <c r="A451" s="2">
        <v>46288</v>
      </c>
      <c r="B451">
        <v>1616</v>
      </c>
    </row>
    <row r="452" spans="1:2" x14ac:dyDescent="0.35">
      <c r="A452" s="2">
        <v>46289</v>
      </c>
      <c r="B452">
        <v>3246</v>
      </c>
    </row>
    <row r="453" spans="1:2" x14ac:dyDescent="0.35">
      <c r="A453" s="2">
        <v>46290</v>
      </c>
      <c r="B453">
        <v>512</v>
      </c>
    </row>
    <row r="454" spans="1:2" x14ac:dyDescent="0.35">
      <c r="A454" s="2">
        <v>46291</v>
      </c>
      <c r="B454">
        <v>828</v>
      </c>
    </row>
    <row r="455" spans="1:2" x14ac:dyDescent="0.35">
      <c r="A455" s="2">
        <v>46292</v>
      </c>
      <c r="B455">
        <v>3448</v>
      </c>
    </row>
    <row r="456" spans="1:2" x14ac:dyDescent="0.35">
      <c r="A456" s="2">
        <v>46293</v>
      </c>
      <c r="B456">
        <v>2908</v>
      </c>
    </row>
    <row r="457" spans="1:2" x14ac:dyDescent="0.35">
      <c r="A457" s="2">
        <v>46294</v>
      </c>
      <c r="B457">
        <v>775</v>
      </c>
    </row>
    <row r="458" spans="1:2" x14ac:dyDescent="0.35">
      <c r="A458" s="2">
        <v>46295</v>
      </c>
      <c r="B458">
        <v>3565</v>
      </c>
    </row>
    <row r="459" spans="1:2" x14ac:dyDescent="0.35">
      <c r="A459" s="2">
        <v>46296</v>
      </c>
      <c r="B459">
        <v>2604</v>
      </c>
    </row>
    <row r="460" spans="1:2" x14ac:dyDescent="0.35">
      <c r="A460" s="2">
        <v>46297</v>
      </c>
      <c r="B460">
        <v>3067</v>
      </c>
    </row>
    <row r="461" spans="1:2" x14ac:dyDescent="0.35">
      <c r="A461" s="2">
        <v>46298</v>
      </c>
      <c r="B461">
        <v>2886</v>
      </c>
    </row>
    <row r="462" spans="1:2" x14ac:dyDescent="0.35">
      <c r="A462" s="2">
        <v>46299</v>
      </c>
      <c r="B462">
        <v>1222</v>
      </c>
    </row>
    <row r="463" spans="1:2" x14ac:dyDescent="0.35">
      <c r="A463" s="2">
        <v>46300</v>
      </c>
      <c r="B463">
        <v>4179</v>
      </c>
    </row>
    <row r="464" spans="1:2" x14ac:dyDescent="0.35">
      <c r="A464" s="2">
        <v>46301</v>
      </c>
      <c r="B464">
        <v>1671</v>
      </c>
    </row>
    <row r="465" spans="1:2" x14ac:dyDescent="0.35">
      <c r="A465" s="2">
        <v>46302</v>
      </c>
      <c r="B465">
        <v>2243</v>
      </c>
    </row>
    <row r="466" spans="1:2" x14ac:dyDescent="0.35">
      <c r="A466" s="2">
        <v>46303</v>
      </c>
      <c r="B466">
        <v>1787</v>
      </c>
    </row>
    <row r="467" spans="1:2" x14ac:dyDescent="0.35">
      <c r="A467" s="2">
        <v>46304</v>
      </c>
      <c r="B467">
        <v>4232</v>
      </c>
    </row>
    <row r="468" spans="1:2" x14ac:dyDescent="0.35">
      <c r="A468" s="2">
        <v>46305</v>
      </c>
      <c r="B468">
        <v>3951</v>
      </c>
    </row>
    <row r="469" spans="1:2" x14ac:dyDescent="0.35">
      <c r="A469" s="2">
        <v>46306</v>
      </c>
      <c r="B469">
        <v>3540</v>
      </c>
    </row>
    <row r="470" spans="1:2" x14ac:dyDescent="0.35">
      <c r="A470" s="2">
        <v>46307</v>
      </c>
      <c r="B470">
        <v>3866</v>
      </c>
    </row>
    <row r="471" spans="1:2" x14ac:dyDescent="0.35">
      <c r="A471" s="2">
        <v>46308</v>
      </c>
      <c r="B471">
        <v>2426</v>
      </c>
    </row>
    <row r="472" spans="1:2" x14ac:dyDescent="0.35">
      <c r="A472" s="2">
        <v>46309</v>
      </c>
      <c r="B472">
        <v>3014</v>
      </c>
    </row>
    <row r="473" spans="1:2" x14ac:dyDescent="0.35">
      <c r="A473" s="2">
        <v>46310</v>
      </c>
      <c r="B473">
        <v>4052</v>
      </c>
    </row>
    <row r="474" spans="1:2" x14ac:dyDescent="0.35">
      <c r="A474" s="2">
        <v>46311</v>
      </c>
      <c r="B474">
        <v>695</v>
      </c>
    </row>
    <row r="475" spans="1:2" x14ac:dyDescent="0.35">
      <c r="A475" s="2">
        <v>46312</v>
      </c>
      <c r="B475">
        <v>828</v>
      </c>
    </row>
    <row r="476" spans="1:2" x14ac:dyDescent="0.35">
      <c r="A476" s="2">
        <v>46313</v>
      </c>
      <c r="B476">
        <v>1465</v>
      </c>
    </row>
    <row r="477" spans="1:2" x14ac:dyDescent="0.35">
      <c r="A477" s="2">
        <v>46314</v>
      </c>
      <c r="B477">
        <v>4592</v>
      </c>
    </row>
    <row r="478" spans="1:2" x14ac:dyDescent="0.35">
      <c r="A478" s="2">
        <v>46315</v>
      </c>
      <c r="B478">
        <v>798</v>
      </c>
    </row>
    <row r="479" spans="1:2" x14ac:dyDescent="0.35">
      <c r="A479" s="2">
        <v>46316</v>
      </c>
      <c r="B479">
        <v>495</v>
      </c>
    </row>
    <row r="480" spans="1:2" x14ac:dyDescent="0.35">
      <c r="A480" s="2">
        <v>46317</v>
      </c>
      <c r="B480">
        <v>4271</v>
      </c>
    </row>
    <row r="481" spans="1:2" x14ac:dyDescent="0.35">
      <c r="A481" s="2">
        <v>46318</v>
      </c>
      <c r="B481">
        <v>4460</v>
      </c>
    </row>
    <row r="482" spans="1:2" x14ac:dyDescent="0.35">
      <c r="A482" s="2">
        <v>46319</v>
      </c>
      <c r="B482">
        <v>2602</v>
      </c>
    </row>
    <row r="483" spans="1:2" x14ac:dyDescent="0.35">
      <c r="A483" s="2">
        <v>46320</v>
      </c>
      <c r="B483">
        <v>1919</v>
      </c>
    </row>
    <row r="484" spans="1:2" x14ac:dyDescent="0.35">
      <c r="A484" s="2">
        <v>46321</v>
      </c>
      <c r="B484">
        <v>817</v>
      </c>
    </row>
    <row r="485" spans="1:2" x14ac:dyDescent="0.35">
      <c r="A485" s="2">
        <v>46322</v>
      </c>
      <c r="B485">
        <v>2882</v>
      </c>
    </row>
    <row r="486" spans="1:2" x14ac:dyDescent="0.35">
      <c r="A486" s="2">
        <v>46323</v>
      </c>
      <c r="B486">
        <v>3677</v>
      </c>
    </row>
    <row r="487" spans="1:2" x14ac:dyDescent="0.35">
      <c r="A487" s="2">
        <v>46324</v>
      </c>
      <c r="B487">
        <v>243</v>
      </c>
    </row>
    <row r="488" spans="1:2" x14ac:dyDescent="0.35">
      <c r="A488" s="2">
        <v>46325</v>
      </c>
      <c r="B488">
        <v>3240</v>
      </c>
    </row>
    <row r="489" spans="1:2" x14ac:dyDescent="0.35">
      <c r="A489" s="2">
        <v>46326</v>
      </c>
      <c r="B489">
        <v>960</v>
      </c>
    </row>
    <row r="490" spans="1:2" x14ac:dyDescent="0.35">
      <c r="A490" s="2">
        <v>46327</v>
      </c>
      <c r="B490">
        <v>3872</v>
      </c>
    </row>
    <row r="491" spans="1:2" x14ac:dyDescent="0.35">
      <c r="A491" s="2">
        <v>46328</v>
      </c>
      <c r="B491">
        <v>3192</v>
      </c>
    </row>
    <row r="492" spans="1:2" x14ac:dyDescent="0.35">
      <c r="A492" s="2">
        <v>46329</v>
      </c>
      <c r="B492">
        <v>566</v>
      </c>
    </row>
    <row r="493" spans="1:2" x14ac:dyDescent="0.35">
      <c r="A493" s="2">
        <v>46330</v>
      </c>
      <c r="B493">
        <v>4526</v>
      </c>
    </row>
    <row r="494" spans="1:2" x14ac:dyDescent="0.35">
      <c r="A494" s="2">
        <v>46331</v>
      </c>
      <c r="B494">
        <v>3544</v>
      </c>
    </row>
    <row r="495" spans="1:2" x14ac:dyDescent="0.35">
      <c r="A495" s="2">
        <v>46332</v>
      </c>
      <c r="B495">
        <v>3271</v>
      </c>
    </row>
    <row r="496" spans="1:2" x14ac:dyDescent="0.35">
      <c r="A496" s="2">
        <v>46333</v>
      </c>
      <c r="B496">
        <v>3019</v>
      </c>
    </row>
    <row r="497" spans="1:2" x14ac:dyDescent="0.35">
      <c r="A497" s="2">
        <v>46334</v>
      </c>
      <c r="B497">
        <v>230</v>
      </c>
    </row>
    <row r="498" spans="1:2" x14ac:dyDescent="0.35">
      <c r="A498" s="2">
        <v>46335</v>
      </c>
      <c r="B498">
        <v>1785</v>
      </c>
    </row>
    <row r="499" spans="1:2" x14ac:dyDescent="0.35">
      <c r="A499" s="2">
        <v>46336</v>
      </c>
      <c r="B499">
        <v>869</v>
      </c>
    </row>
    <row r="500" spans="1:2" x14ac:dyDescent="0.35">
      <c r="A500" s="2">
        <v>46337</v>
      </c>
      <c r="B500">
        <v>2491</v>
      </c>
    </row>
    <row r="501" spans="1:2" x14ac:dyDescent="0.35">
      <c r="A501" s="2">
        <v>46338</v>
      </c>
      <c r="B501">
        <v>2533</v>
      </c>
    </row>
    <row r="502" spans="1:2" x14ac:dyDescent="0.35">
      <c r="A502" s="2">
        <v>46339</v>
      </c>
      <c r="B502">
        <v>1284</v>
      </c>
    </row>
    <row r="503" spans="1:2" x14ac:dyDescent="0.35">
      <c r="A503" s="2">
        <v>46340</v>
      </c>
      <c r="B503">
        <v>4655</v>
      </c>
    </row>
    <row r="504" spans="1:2" x14ac:dyDescent="0.35">
      <c r="A504" s="2">
        <v>46341</v>
      </c>
      <c r="B504">
        <v>3485</v>
      </c>
    </row>
    <row r="505" spans="1:2" x14ac:dyDescent="0.35">
      <c r="A505" s="2">
        <v>46342</v>
      </c>
      <c r="B505">
        <v>4217</v>
      </c>
    </row>
    <row r="506" spans="1:2" x14ac:dyDescent="0.35">
      <c r="A506" s="2">
        <v>46343</v>
      </c>
      <c r="B506">
        <v>4943</v>
      </c>
    </row>
    <row r="507" spans="1:2" x14ac:dyDescent="0.35">
      <c r="A507" s="2">
        <v>46344</v>
      </c>
      <c r="B507">
        <v>3004</v>
      </c>
    </row>
    <row r="508" spans="1:2" x14ac:dyDescent="0.35">
      <c r="A508" s="2">
        <v>46345</v>
      </c>
      <c r="B508">
        <v>574</v>
      </c>
    </row>
    <row r="509" spans="1:2" x14ac:dyDescent="0.35">
      <c r="A509" s="2">
        <v>46346</v>
      </c>
      <c r="B509">
        <v>1182</v>
      </c>
    </row>
    <row r="510" spans="1:2" x14ac:dyDescent="0.35">
      <c r="A510" s="2">
        <v>46347</v>
      </c>
      <c r="B510">
        <v>2658</v>
      </c>
    </row>
    <row r="511" spans="1:2" x14ac:dyDescent="0.35">
      <c r="A511" s="2">
        <v>46348</v>
      </c>
      <c r="B511">
        <v>2147</v>
      </c>
    </row>
    <row r="512" spans="1:2" x14ac:dyDescent="0.35">
      <c r="A512" s="2">
        <v>46349</v>
      </c>
      <c r="B512">
        <v>2847</v>
      </c>
    </row>
    <row r="513" spans="1:2" x14ac:dyDescent="0.35">
      <c r="A513" s="2">
        <v>46350</v>
      </c>
      <c r="B513">
        <v>1075</v>
      </c>
    </row>
    <row r="514" spans="1:2" x14ac:dyDescent="0.35">
      <c r="A514" s="2">
        <v>46351</v>
      </c>
      <c r="B514">
        <v>1906</v>
      </c>
    </row>
    <row r="515" spans="1:2" x14ac:dyDescent="0.35">
      <c r="A515" s="2">
        <v>46352</v>
      </c>
      <c r="B515">
        <v>289</v>
      </c>
    </row>
    <row r="516" spans="1:2" x14ac:dyDescent="0.35">
      <c r="A516" s="2">
        <v>46353</v>
      </c>
      <c r="B516">
        <v>2834</v>
      </c>
    </row>
    <row r="517" spans="1:2" x14ac:dyDescent="0.35">
      <c r="A517" s="2">
        <v>46354</v>
      </c>
      <c r="B517">
        <v>3105</v>
      </c>
    </row>
    <row r="518" spans="1:2" x14ac:dyDescent="0.35">
      <c r="A518" s="2">
        <v>46355</v>
      </c>
      <c r="B518">
        <v>4758</v>
      </c>
    </row>
    <row r="519" spans="1:2" x14ac:dyDescent="0.35">
      <c r="A519" s="2">
        <v>46356</v>
      </c>
      <c r="B519">
        <v>1999</v>
      </c>
    </row>
    <row r="520" spans="1:2" x14ac:dyDescent="0.35">
      <c r="A520" s="2">
        <v>46357</v>
      </c>
      <c r="B520">
        <v>1367</v>
      </c>
    </row>
    <row r="521" spans="1:2" x14ac:dyDescent="0.35">
      <c r="A521" s="2">
        <v>46358</v>
      </c>
      <c r="B521">
        <v>1628</v>
      </c>
    </row>
    <row r="522" spans="1:2" x14ac:dyDescent="0.35">
      <c r="A522" s="2">
        <v>46359</v>
      </c>
      <c r="B522">
        <v>3302</v>
      </c>
    </row>
    <row r="523" spans="1:2" x14ac:dyDescent="0.35">
      <c r="A523" s="2">
        <v>46360</v>
      </c>
      <c r="B523">
        <v>3656</v>
      </c>
    </row>
    <row r="524" spans="1:2" x14ac:dyDescent="0.35">
      <c r="A524" s="2">
        <v>46361</v>
      </c>
      <c r="B524">
        <v>3990</v>
      </c>
    </row>
    <row r="525" spans="1:2" x14ac:dyDescent="0.35">
      <c r="A525" s="2">
        <v>46362</v>
      </c>
      <c r="B525">
        <v>746</v>
      </c>
    </row>
    <row r="526" spans="1:2" x14ac:dyDescent="0.35">
      <c r="A526" s="2">
        <v>46363</v>
      </c>
      <c r="B526">
        <v>2988</v>
      </c>
    </row>
    <row r="527" spans="1:2" x14ac:dyDescent="0.35">
      <c r="A527" s="2">
        <v>46364</v>
      </c>
      <c r="B527">
        <v>2535</v>
      </c>
    </row>
    <row r="528" spans="1:2" x14ac:dyDescent="0.35">
      <c r="A528" s="2">
        <v>46365</v>
      </c>
      <c r="B528">
        <v>700</v>
      </c>
    </row>
    <row r="529" spans="1:2" x14ac:dyDescent="0.35">
      <c r="A529" s="2">
        <v>46366</v>
      </c>
      <c r="B529">
        <v>2463</v>
      </c>
    </row>
    <row r="530" spans="1:2" x14ac:dyDescent="0.35">
      <c r="A530" s="2">
        <v>46367</v>
      </c>
      <c r="B530">
        <v>2161</v>
      </c>
    </row>
    <row r="531" spans="1:2" x14ac:dyDescent="0.35">
      <c r="A531" s="2">
        <v>46368</v>
      </c>
      <c r="B531">
        <v>341</v>
      </c>
    </row>
    <row r="532" spans="1:2" x14ac:dyDescent="0.35">
      <c r="A532" s="2">
        <v>46369</v>
      </c>
      <c r="B532">
        <v>2141</v>
      </c>
    </row>
    <row r="533" spans="1:2" x14ac:dyDescent="0.35">
      <c r="A533" s="2">
        <v>46370</v>
      </c>
      <c r="B533">
        <v>2924</v>
      </c>
    </row>
    <row r="534" spans="1:2" x14ac:dyDescent="0.35">
      <c r="A534" s="2">
        <v>46371</v>
      </c>
      <c r="B534">
        <v>2712</v>
      </c>
    </row>
    <row r="535" spans="1:2" x14ac:dyDescent="0.35">
      <c r="A535" s="2">
        <v>46372</v>
      </c>
      <c r="B535">
        <v>1463</v>
      </c>
    </row>
    <row r="536" spans="1:2" x14ac:dyDescent="0.35">
      <c r="A536" s="2">
        <v>46373</v>
      </c>
      <c r="B536">
        <v>1578</v>
      </c>
    </row>
    <row r="537" spans="1:2" x14ac:dyDescent="0.35">
      <c r="A537" s="2">
        <v>46374</v>
      </c>
      <c r="B537">
        <v>2656</v>
      </c>
    </row>
    <row r="538" spans="1:2" x14ac:dyDescent="0.35">
      <c r="A538" s="2">
        <v>46375</v>
      </c>
      <c r="B538">
        <v>875</v>
      </c>
    </row>
    <row r="539" spans="1:2" x14ac:dyDescent="0.35">
      <c r="A539" s="2">
        <v>46376</v>
      </c>
      <c r="B539">
        <v>4114</v>
      </c>
    </row>
    <row r="540" spans="1:2" x14ac:dyDescent="0.35">
      <c r="A540" s="2">
        <v>46377</v>
      </c>
      <c r="B540">
        <v>134</v>
      </c>
    </row>
    <row r="541" spans="1:2" x14ac:dyDescent="0.35">
      <c r="A541" s="2">
        <v>46378</v>
      </c>
      <c r="B541">
        <v>3252</v>
      </c>
    </row>
    <row r="542" spans="1:2" x14ac:dyDescent="0.35">
      <c r="A542" s="2">
        <v>46379</v>
      </c>
      <c r="B542">
        <v>2055</v>
      </c>
    </row>
    <row r="543" spans="1:2" x14ac:dyDescent="0.35">
      <c r="A543" s="2">
        <v>46380</v>
      </c>
      <c r="B543">
        <v>1685</v>
      </c>
    </row>
    <row r="544" spans="1:2" x14ac:dyDescent="0.35">
      <c r="A544" s="2">
        <v>46381</v>
      </c>
      <c r="B544">
        <v>4043</v>
      </c>
    </row>
    <row r="545" spans="1:2" x14ac:dyDescent="0.35">
      <c r="A545" s="2">
        <v>46382</v>
      </c>
      <c r="B545">
        <v>3173</v>
      </c>
    </row>
    <row r="546" spans="1:2" x14ac:dyDescent="0.35">
      <c r="A546" s="2">
        <v>46383</v>
      </c>
      <c r="B546">
        <v>1121</v>
      </c>
    </row>
    <row r="547" spans="1:2" x14ac:dyDescent="0.35">
      <c r="A547" s="2">
        <v>46384</v>
      </c>
      <c r="B547">
        <v>3561</v>
      </c>
    </row>
    <row r="548" spans="1:2" x14ac:dyDescent="0.35">
      <c r="A548" s="2">
        <v>46385</v>
      </c>
      <c r="B548">
        <v>2713</v>
      </c>
    </row>
    <row r="549" spans="1:2" x14ac:dyDescent="0.35">
      <c r="A549" s="2">
        <v>46386</v>
      </c>
      <c r="B549">
        <v>3943</v>
      </c>
    </row>
    <row r="550" spans="1:2" x14ac:dyDescent="0.35">
      <c r="A550" s="2">
        <v>46387</v>
      </c>
      <c r="B550">
        <v>1600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B00A-A4E6-4F0C-8ADC-BB960C54B2BE}">
  <dimension ref="A1:E409"/>
  <sheetViews>
    <sheetView topLeftCell="A320" workbookViewId="0"/>
  </sheetViews>
  <sheetFormatPr defaultRowHeight="14.5" x14ac:dyDescent="0.35"/>
  <cols>
    <col min="1" max="1" width="10.08984375" bestFit="1" customWidth="1"/>
    <col min="2" max="2" width="9.6328125" customWidth="1"/>
    <col min="3" max="3" width="18.08984375" customWidth="1"/>
    <col min="4" max="4" width="31.6328125" customWidth="1"/>
    <col min="5" max="5" width="31.81640625" customWidth="1"/>
  </cols>
  <sheetData>
    <row r="1" spans="1:5" x14ac:dyDescent="0.35">
      <c r="A1" t="s">
        <v>0</v>
      </c>
      <c r="B1" t="s">
        <v>1</v>
      </c>
      <c r="C1" t="s">
        <v>703</v>
      </c>
      <c r="D1" t="s">
        <v>704</v>
      </c>
      <c r="E1" t="s">
        <v>705</v>
      </c>
    </row>
    <row r="2" spans="1:5" x14ac:dyDescent="0.35">
      <c r="A2" s="2">
        <v>45839</v>
      </c>
      <c r="B2">
        <v>960</v>
      </c>
    </row>
    <row r="3" spans="1:5" x14ac:dyDescent="0.35">
      <c r="A3" s="2">
        <v>45840</v>
      </c>
      <c r="B3">
        <v>3872</v>
      </c>
    </row>
    <row r="4" spans="1:5" x14ac:dyDescent="0.35">
      <c r="A4" s="2">
        <v>45841</v>
      </c>
      <c r="B4">
        <v>3192</v>
      </c>
    </row>
    <row r="5" spans="1:5" x14ac:dyDescent="0.35">
      <c r="A5" s="2">
        <v>45842</v>
      </c>
      <c r="B5">
        <v>566</v>
      </c>
    </row>
    <row r="6" spans="1:5" x14ac:dyDescent="0.35">
      <c r="A6" s="2">
        <v>45843</v>
      </c>
      <c r="B6">
        <v>4526</v>
      </c>
    </row>
    <row r="7" spans="1:5" x14ac:dyDescent="0.35">
      <c r="A7" s="2">
        <v>45844</v>
      </c>
      <c r="B7">
        <v>3544</v>
      </c>
    </row>
    <row r="8" spans="1:5" x14ac:dyDescent="0.35">
      <c r="A8" s="2">
        <v>45845</v>
      </c>
      <c r="B8">
        <v>3271</v>
      </c>
    </row>
    <row r="9" spans="1:5" x14ac:dyDescent="0.35">
      <c r="A9" s="2">
        <v>45846</v>
      </c>
      <c r="B9">
        <v>3019</v>
      </c>
    </row>
    <row r="10" spans="1:5" x14ac:dyDescent="0.35">
      <c r="A10" s="2">
        <v>45847</v>
      </c>
      <c r="B10">
        <v>230</v>
      </c>
    </row>
    <row r="11" spans="1:5" x14ac:dyDescent="0.35">
      <c r="A11" s="2">
        <v>45848</v>
      </c>
      <c r="B11">
        <v>1785</v>
      </c>
    </row>
    <row r="12" spans="1:5" x14ac:dyDescent="0.35">
      <c r="A12" s="2">
        <v>45849</v>
      </c>
      <c r="B12">
        <v>869</v>
      </c>
    </row>
    <row r="13" spans="1:5" x14ac:dyDescent="0.35">
      <c r="A13" s="2">
        <v>45850</v>
      </c>
      <c r="B13">
        <v>2491</v>
      </c>
    </row>
    <row r="14" spans="1:5" x14ac:dyDescent="0.35">
      <c r="A14" s="2">
        <v>45851</v>
      </c>
      <c r="B14">
        <v>2533</v>
      </c>
    </row>
    <row r="15" spans="1:5" x14ac:dyDescent="0.35">
      <c r="A15" s="2">
        <v>45852</v>
      </c>
      <c r="B15">
        <v>1284</v>
      </c>
    </row>
    <row r="16" spans="1:5" x14ac:dyDescent="0.35">
      <c r="A16" s="2">
        <v>45853</v>
      </c>
      <c r="B16">
        <v>4655</v>
      </c>
    </row>
    <row r="17" spans="1:2" x14ac:dyDescent="0.35">
      <c r="A17" s="2">
        <v>45854</v>
      </c>
      <c r="B17">
        <v>3485</v>
      </c>
    </row>
    <row r="18" spans="1:2" x14ac:dyDescent="0.35">
      <c r="A18" s="2">
        <v>45855</v>
      </c>
      <c r="B18">
        <v>4217</v>
      </c>
    </row>
    <row r="19" spans="1:2" x14ac:dyDescent="0.35">
      <c r="A19" s="2">
        <v>45856</v>
      </c>
      <c r="B19">
        <v>4943</v>
      </c>
    </row>
    <row r="20" spans="1:2" x14ac:dyDescent="0.35">
      <c r="A20" s="2">
        <v>45857</v>
      </c>
      <c r="B20">
        <v>3004</v>
      </c>
    </row>
    <row r="21" spans="1:2" x14ac:dyDescent="0.35">
      <c r="A21" s="2">
        <v>45858</v>
      </c>
      <c r="B21">
        <v>574</v>
      </c>
    </row>
    <row r="22" spans="1:2" x14ac:dyDescent="0.35">
      <c r="A22" s="2">
        <v>45859</v>
      </c>
      <c r="B22">
        <v>1182</v>
      </c>
    </row>
    <row r="23" spans="1:2" x14ac:dyDescent="0.35">
      <c r="A23" s="2">
        <v>45860</v>
      </c>
      <c r="B23">
        <v>2658</v>
      </c>
    </row>
    <row r="24" spans="1:2" x14ac:dyDescent="0.35">
      <c r="A24" s="2">
        <v>45861</v>
      </c>
      <c r="B24">
        <v>2147</v>
      </c>
    </row>
    <row r="25" spans="1:2" x14ac:dyDescent="0.35">
      <c r="A25" s="2">
        <v>45862</v>
      </c>
      <c r="B25">
        <v>2847</v>
      </c>
    </row>
    <row r="26" spans="1:2" x14ac:dyDescent="0.35">
      <c r="A26" s="2">
        <v>45863</v>
      </c>
      <c r="B26">
        <v>1075</v>
      </c>
    </row>
    <row r="27" spans="1:2" x14ac:dyDescent="0.35">
      <c r="A27" s="2">
        <v>45864</v>
      </c>
      <c r="B27">
        <v>1906</v>
      </c>
    </row>
    <row r="28" spans="1:2" x14ac:dyDescent="0.35">
      <c r="A28" s="2">
        <v>45865</v>
      </c>
      <c r="B28">
        <v>289</v>
      </c>
    </row>
    <row r="29" spans="1:2" x14ac:dyDescent="0.35">
      <c r="A29" s="2">
        <v>45866</v>
      </c>
      <c r="B29">
        <v>2834</v>
      </c>
    </row>
    <row r="30" spans="1:2" x14ac:dyDescent="0.35">
      <c r="A30" s="2">
        <v>45867</v>
      </c>
      <c r="B30">
        <v>3105</v>
      </c>
    </row>
    <row r="31" spans="1:2" x14ac:dyDescent="0.35">
      <c r="A31" s="2">
        <v>45868</v>
      </c>
      <c r="B31">
        <v>4758</v>
      </c>
    </row>
    <row r="32" spans="1:2" x14ac:dyDescent="0.35">
      <c r="A32" s="2">
        <v>45869</v>
      </c>
      <c r="B32">
        <v>1999</v>
      </c>
    </row>
    <row r="33" spans="1:2" x14ac:dyDescent="0.35">
      <c r="A33" s="2">
        <v>45870</v>
      </c>
      <c r="B33">
        <v>1367</v>
      </c>
    </row>
    <row r="34" spans="1:2" x14ac:dyDescent="0.35">
      <c r="A34" s="2">
        <v>45871</v>
      </c>
      <c r="B34">
        <v>1628</v>
      </c>
    </row>
    <row r="35" spans="1:2" x14ac:dyDescent="0.35">
      <c r="A35" s="2">
        <v>45872</v>
      </c>
      <c r="B35">
        <v>3302</v>
      </c>
    </row>
    <row r="36" spans="1:2" x14ac:dyDescent="0.35">
      <c r="A36" s="2">
        <v>45873</v>
      </c>
      <c r="B36">
        <v>3656</v>
      </c>
    </row>
    <row r="37" spans="1:2" x14ac:dyDescent="0.35">
      <c r="A37" s="2">
        <v>45874</v>
      </c>
      <c r="B37">
        <v>3990</v>
      </c>
    </row>
    <row r="38" spans="1:2" x14ac:dyDescent="0.35">
      <c r="A38" s="2">
        <v>45875</v>
      </c>
      <c r="B38">
        <v>746</v>
      </c>
    </row>
    <row r="39" spans="1:2" x14ac:dyDescent="0.35">
      <c r="A39" s="2">
        <v>45876</v>
      </c>
      <c r="B39">
        <v>2988</v>
      </c>
    </row>
    <row r="40" spans="1:2" x14ac:dyDescent="0.35">
      <c r="A40" s="2">
        <v>45877</v>
      </c>
      <c r="B40">
        <v>2535</v>
      </c>
    </row>
    <row r="41" spans="1:2" x14ac:dyDescent="0.35">
      <c r="A41" s="2">
        <v>45878</v>
      </c>
      <c r="B41">
        <v>700</v>
      </c>
    </row>
    <row r="42" spans="1:2" x14ac:dyDescent="0.35">
      <c r="A42" s="2">
        <v>45879</v>
      </c>
      <c r="B42">
        <v>2463</v>
      </c>
    </row>
    <row r="43" spans="1:2" x14ac:dyDescent="0.35">
      <c r="A43" s="2">
        <v>45880</v>
      </c>
      <c r="B43">
        <v>2161</v>
      </c>
    </row>
    <row r="44" spans="1:2" x14ac:dyDescent="0.35">
      <c r="A44" s="2">
        <v>45881</v>
      </c>
      <c r="B44">
        <v>341</v>
      </c>
    </row>
    <row r="45" spans="1:2" x14ac:dyDescent="0.35">
      <c r="A45" s="2">
        <v>45882</v>
      </c>
      <c r="B45">
        <v>2141</v>
      </c>
    </row>
    <row r="46" spans="1:2" x14ac:dyDescent="0.35">
      <c r="A46" s="2">
        <v>45883</v>
      </c>
      <c r="B46">
        <v>2924</v>
      </c>
    </row>
    <row r="47" spans="1:2" x14ac:dyDescent="0.35">
      <c r="A47" s="2">
        <v>45884</v>
      </c>
      <c r="B47">
        <v>2712</v>
      </c>
    </row>
    <row r="48" spans="1:2" x14ac:dyDescent="0.35">
      <c r="A48" s="2">
        <v>45885</v>
      </c>
      <c r="B48">
        <v>1463</v>
      </c>
    </row>
    <row r="49" spans="1:2" x14ac:dyDescent="0.35">
      <c r="A49" s="2">
        <v>45886</v>
      </c>
      <c r="B49">
        <v>1578</v>
      </c>
    </row>
    <row r="50" spans="1:2" x14ac:dyDescent="0.35">
      <c r="A50" s="2">
        <v>45887</v>
      </c>
      <c r="B50">
        <v>2656</v>
      </c>
    </row>
    <row r="51" spans="1:2" x14ac:dyDescent="0.35">
      <c r="A51" s="2">
        <v>45888</v>
      </c>
      <c r="B51">
        <v>875</v>
      </c>
    </row>
    <row r="52" spans="1:2" x14ac:dyDescent="0.35">
      <c r="A52" s="2">
        <v>45889</v>
      </c>
      <c r="B52">
        <v>4114</v>
      </c>
    </row>
    <row r="53" spans="1:2" x14ac:dyDescent="0.35">
      <c r="A53" s="2">
        <v>45890</v>
      </c>
      <c r="B53">
        <v>134</v>
      </c>
    </row>
    <row r="54" spans="1:2" x14ac:dyDescent="0.35">
      <c r="A54" s="2">
        <v>45891</v>
      </c>
      <c r="B54">
        <v>3252</v>
      </c>
    </row>
    <row r="55" spans="1:2" x14ac:dyDescent="0.35">
      <c r="A55" s="2">
        <v>45892</v>
      </c>
      <c r="B55">
        <v>2055</v>
      </c>
    </row>
    <row r="56" spans="1:2" x14ac:dyDescent="0.35">
      <c r="A56" s="2">
        <v>45893</v>
      </c>
      <c r="B56">
        <v>1685</v>
      </c>
    </row>
    <row r="57" spans="1:2" x14ac:dyDescent="0.35">
      <c r="A57" s="2">
        <v>45894</v>
      </c>
      <c r="B57">
        <v>4043</v>
      </c>
    </row>
    <row r="58" spans="1:2" x14ac:dyDescent="0.35">
      <c r="A58" s="2">
        <v>45895</v>
      </c>
      <c r="B58">
        <v>3173</v>
      </c>
    </row>
    <row r="59" spans="1:2" x14ac:dyDescent="0.35">
      <c r="A59" s="2">
        <v>45896</v>
      </c>
      <c r="B59">
        <v>1121</v>
      </c>
    </row>
    <row r="60" spans="1:2" x14ac:dyDescent="0.35">
      <c r="A60" s="2">
        <v>45897</v>
      </c>
      <c r="B60">
        <v>3561</v>
      </c>
    </row>
    <row r="61" spans="1:2" x14ac:dyDescent="0.35">
      <c r="A61" s="2">
        <v>45898</v>
      </c>
      <c r="B61">
        <v>2713</v>
      </c>
    </row>
    <row r="62" spans="1:2" x14ac:dyDescent="0.35">
      <c r="A62" s="2">
        <v>45899</v>
      </c>
      <c r="B62">
        <v>3943</v>
      </c>
    </row>
    <row r="63" spans="1:2" x14ac:dyDescent="0.35">
      <c r="A63" s="2">
        <v>45900</v>
      </c>
      <c r="B63">
        <v>1600</v>
      </c>
    </row>
    <row r="64" spans="1:2" x14ac:dyDescent="0.35">
      <c r="A64" s="2">
        <v>45901</v>
      </c>
      <c r="B64">
        <v>4898</v>
      </c>
    </row>
    <row r="65" spans="1:2" x14ac:dyDescent="0.35">
      <c r="A65" s="2">
        <v>45902</v>
      </c>
      <c r="B65">
        <v>261</v>
      </c>
    </row>
    <row r="66" spans="1:2" x14ac:dyDescent="0.35">
      <c r="A66" s="2">
        <v>45903</v>
      </c>
      <c r="B66">
        <v>4397</v>
      </c>
    </row>
    <row r="67" spans="1:2" x14ac:dyDescent="0.35">
      <c r="A67" s="2">
        <v>45904</v>
      </c>
      <c r="B67">
        <v>2081</v>
      </c>
    </row>
    <row r="68" spans="1:2" x14ac:dyDescent="0.35">
      <c r="A68" s="2">
        <v>45905</v>
      </c>
      <c r="B68">
        <v>1095</v>
      </c>
    </row>
    <row r="69" spans="1:2" x14ac:dyDescent="0.35">
      <c r="A69" s="2">
        <v>45906</v>
      </c>
      <c r="B69">
        <v>3442</v>
      </c>
    </row>
    <row r="70" spans="1:2" x14ac:dyDescent="0.35">
      <c r="A70" s="2">
        <v>45907</v>
      </c>
      <c r="B70">
        <v>4651</v>
      </c>
    </row>
    <row r="71" spans="1:2" x14ac:dyDescent="0.35">
      <c r="A71" s="2">
        <v>45908</v>
      </c>
      <c r="B71">
        <v>3898</v>
      </c>
    </row>
    <row r="72" spans="1:2" x14ac:dyDescent="0.35">
      <c r="A72" s="2">
        <v>45909</v>
      </c>
      <c r="B72">
        <v>1375</v>
      </c>
    </row>
    <row r="73" spans="1:2" x14ac:dyDescent="0.35">
      <c r="A73" s="2">
        <v>45910</v>
      </c>
      <c r="B73">
        <v>1116</v>
      </c>
    </row>
    <row r="74" spans="1:2" x14ac:dyDescent="0.35">
      <c r="A74" s="2">
        <v>45911</v>
      </c>
      <c r="B74">
        <v>437</v>
      </c>
    </row>
    <row r="75" spans="1:2" x14ac:dyDescent="0.35">
      <c r="A75" s="2">
        <v>45912</v>
      </c>
      <c r="B75">
        <v>978</v>
      </c>
    </row>
    <row r="76" spans="1:2" x14ac:dyDescent="0.35">
      <c r="A76" s="2">
        <v>45913</v>
      </c>
      <c r="B76">
        <v>1176</v>
      </c>
    </row>
    <row r="77" spans="1:2" x14ac:dyDescent="0.35">
      <c r="A77" s="2">
        <v>45914</v>
      </c>
      <c r="B77">
        <v>4987</v>
      </c>
    </row>
    <row r="78" spans="1:2" x14ac:dyDescent="0.35">
      <c r="A78" s="2">
        <v>45915</v>
      </c>
      <c r="B78">
        <v>4093</v>
      </c>
    </row>
    <row r="79" spans="1:2" x14ac:dyDescent="0.35">
      <c r="A79" s="2">
        <v>45916</v>
      </c>
      <c r="B79">
        <v>4959</v>
      </c>
    </row>
    <row r="80" spans="1:2" x14ac:dyDescent="0.35">
      <c r="A80" s="2">
        <v>45917</v>
      </c>
      <c r="B80">
        <v>479</v>
      </c>
    </row>
    <row r="81" spans="1:2" x14ac:dyDescent="0.35">
      <c r="A81" s="2">
        <v>45918</v>
      </c>
      <c r="B81">
        <v>592</v>
      </c>
    </row>
    <row r="82" spans="1:2" x14ac:dyDescent="0.35">
      <c r="A82" s="2">
        <v>45919</v>
      </c>
      <c r="B82">
        <v>2162</v>
      </c>
    </row>
    <row r="83" spans="1:2" x14ac:dyDescent="0.35">
      <c r="A83" s="2">
        <v>45920</v>
      </c>
      <c r="B83">
        <v>3984</v>
      </c>
    </row>
    <row r="84" spans="1:2" x14ac:dyDescent="0.35">
      <c r="A84" s="2">
        <v>45921</v>
      </c>
      <c r="B84">
        <v>164</v>
      </c>
    </row>
    <row r="85" spans="1:2" x14ac:dyDescent="0.35">
      <c r="A85" s="2">
        <v>45922</v>
      </c>
      <c r="B85">
        <v>2668</v>
      </c>
    </row>
    <row r="86" spans="1:2" x14ac:dyDescent="0.35">
      <c r="A86" s="2">
        <v>45923</v>
      </c>
      <c r="B86">
        <v>2127</v>
      </c>
    </row>
    <row r="87" spans="1:2" x14ac:dyDescent="0.35">
      <c r="A87" s="2">
        <v>45924</v>
      </c>
      <c r="B87">
        <v>2795</v>
      </c>
    </row>
    <row r="88" spans="1:2" x14ac:dyDescent="0.35">
      <c r="A88" s="2">
        <v>45925</v>
      </c>
      <c r="B88">
        <v>1595</v>
      </c>
    </row>
    <row r="89" spans="1:2" x14ac:dyDescent="0.35">
      <c r="A89" s="2">
        <v>45926</v>
      </c>
      <c r="B89">
        <v>491</v>
      </c>
    </row>
    <row r="90" spans="1:2" x14ac:dyDescent="0.35">
      <c r="A90" s="2">
        <v>45927</v>
      </c>
      <c r="B90">
        <v>4614</v>
      </c>
    </row>
    <row r="91" spans="1:2" x14ac:dyDescent="0.35">
      <c r="A91" s="2">
        <v>45928</v>
      </c>
      <c r="B91">
        <v>4574</v>
      </c>
    </row>
    <row r="92" spans="1:2" x14ac:dyDescent="0.35">
      <c r="A92" s="2">
        <v>45929</v>
      </c>
      <c r="B92">
        <v>3661</v>
      </c>
    </row>
    <row r="93" spans="1:2" x14ac:dyDescent="0.35">
      <c r="A93" s="2">
        <v>45930</v>
      </c>
      <c r="B93">
        <v>2378</v>
      </c>
    </row>
    <row r="94" spans="1:2" x14ac:dyDescent="0.35">
      <c r="A94" s="2">
        <v>45931</v>
      </c>
      <c r="B94">
        <v>3199</v>
      </c>
    </row>
    <row r="95" spans="1:2" x14ac:dyDescent="0.35">
      <c r="A95" s="2">
        <v>45932</v>
      </c>
      <c r="B95">
        <v>300</v>
      </c>
    </row>
    <row r="96" spans="1:2" x14ac:dyDescent="0.35">
      <c r="A96" s="2">
        <v>45933</v>
      </c>
      <c r="B96">
        <v>4975</v>
      </c>
    </row>
    <row r="97" spans="1:2" x14ac:dyDescent="0.35">
      <c r="A97" s="2">
        <v>45934</v>
      </c>
      <c r="B97">
        <v>3204</v>
      </c>
    </row>
    <row r="98" spans="1:2" x14ac:dyDescent="0.35">
      <c r="A98" s="2">
        <v>45935</v>
      </c>
      <c r="B98">
        <v>4698</v>
      </c>
    </row>
    <row r="99" spans="1:2" x14ac:dyDescent="0.35">
      <c r="A99" s="2">
        <v>45936</v>
      </c>
      <c r="B99">
        <v>2554</v>
      </c>
    </row>
    <row r="100" spans="1:2" x14ac:dyDescent="0.35">
      <c r="A100" s="2">
        <v>45937</v>
      </c>
      <c r="B100">
        <v>3745</v>
      </c>
    </row>
    <row r="101" spans="1:2" x14ac:dyDescent="0.35">
      <c r="A101" s="2">
        <v>45938</v>
      </c>
      <c r="B101">
        <v>904</v>
      </c>
    </row>
    <row r="102" spans="1:2" x14ac:dyDescent="0.35">
      <c r="A102" s="2">
        <v>45939</v>
      </c>
      <c r="B102">
        <v>2831</v>
      </c>
    </row>
    <row r="103" spans="1:2" x14ac:dyDescent="0.35">
      <c r="A103" s="2">
        <v>45940</v>
      </c>
      <c r="B103">
        <v>2873</v>
      </c>
    </row>
    <row r="104" spans="1:2" x14ac:dyDescent="0.35">
      <c r="A104" s="2">
        <v>45941</v>
      </c>
      <c r="B104">
        <v>1670</v>
      </c>
    </row>
    <row r="105" spans="1:2" x14ac:dyDescent="0.35">
      <c r="A105" s="2">
        <v>45942</v>
      </c>
      <c r="B105">
        <v>2790</v>
      </c>
    </row>
    <row r="106" spans="1:2" x14ac:dyDescent="0.35">
      <c r="A106" s="2">
        <v>45943</v>
      </c>
      <c r="B106">
        <v>3940</v>
      </c>
    </row>
    <row r="107" spans="1:2" x14ac:dyDescent="0.35">
      <c r="A107" s="2">
        <v>45944</v>
      </c>
      <c r="B107">
        <v>1128</v>
      </c>
    </row>
    <row r="108" spans="1:2" x14ac:dyDescent="0.35">
      <c r="A108" s="2">
        <v>45945</v>
      </c>
      <c r="B108">
        <v>602</v>
      </c>
    </row>
    <row r="109" spans="1:2" x14ac:dyDescent="0.35">
      <c r="A109" s="2">
        <v>45946</v>
      </c>
      <c r="B109">
        <v>4593</v>
      </c>
    </row>
    <row r="110" spans="1:2" x14ac:dyDescent="0.35">
      <c r="A110" s="2">
        <v>45947</v>
      </c>
      <c r="B110">
        <v>970</v>
      </c>
    </row>
    <row r="111" spans="1:2" x14ac:dyDescent="0.35">
      <c r="A111" s="2">
        <v>45948</v>
      </c>
      <c r="B111">
        <v>4588</v>
      </c>
    </row>
    <row r="112" spans="1:2" x14ac:dyDescent="0.35">
      <c r="A112" s="2">
        <v>45949</v>
      </c>
      <c r="B112">
        <v>306</v>
      </c>
    </row>
    <row r="113" spans="1:2" x14ac:dyDescent="0.35">
      <c r="A113" s="2">
        <v>45950</v>
      </c>
      <c r="B113">
        <v>1584</v>
      </c>
    </row>
    <row r="114" spans="1:2" x14ac:dyDescent="0.35">
      <c r="A114" s="2">
        <v>45951</v>
      </c>
      <c r="B114">
        <v>963</v>
      </c>
    </row>
    <row r="115" spans="1:2" x14ac:dyDescent="0.35">
      <c r="A115" s="2">
        <v>45952</v>
      </c>
      <c r="B115">
        <v>2890</v>
      </c>
    </row>
    <row r="116" spans="1:2" x14ac:dyDescent="0.35">
      <c r="A116" s="2">
        <v>45953</v>
      </c>
      <c r="B116">
        <v>663</v>
      </c>
    </row>
    <row r="117" spans="1:2" x14ac:dyDescent="0.35">
      <c r="A117" s="2">
        <v>45954</v>
      </c>
      <c r="B117">
        <v>4291</v>
      </c>
    </row>
    <row r="118" spans="1:2" x14ac:dyDescent="0.35">
      <c r="A118" s="2">
        <v>45955</v>
      </c>
      <c r="B118">
        <v>1857</v>
      </c>
    </row>
    <row r="119" spans="1:2" x14ac:dyDescent="0.35">
      <c r="A119" s="2">
        <v>45956</v>
      </c>
      <c r="B119">
        <v>1778</v>
      </c>
    </row>
    <row r="120" spans="1:2" x14ac:dyDescent="0.35">
      <c r="A120" s="2">
        <v>45957</v>
      </c>
      <c r="B120">
        <v>3342</v>
      </c>
    </row>
    <row r="121" spans="1:2" x14ac:dyDescent="0.35">
      <c r="A121" s="2">
        <v>45958</v>
      </c>
      <c r="B121">
        <v>4736</v>
      </c>
    </row>
    <row r="122" spans="1:2" x14ac:dyDescent="0.35">
      <c r="A122" s="2">
        <v>45959</v>
      </c>
      <c r="B122">
        <v>1159</v>
      </c>
    </row>
    <row r="123" spans="1:2" x14ac:dyDescent="0.35">
      <c r="A123" s="2">
        <v>45960</v>
      </c>
      <c r="B123">
        <v>1822</v>
      </c>
    </row>
    <row r="124" spans="1:2" x14ac:dyDescent="0.35">
      <c r="A124" s="2">
        <v>45961</v>
      </c>
      <c r="B124">
        <v>3414</v>
      </c>
    </row>
    <row r="125" spans="1:2" x14ac:dyDescent="0.35">
      <c r="A125" s="2">
        <v>45962</v>
      </c>
      <c r="B125">
        <v>3257</v>
      </c>
    </row>
    <row r="126" spans="1:2" x14ac:dyDescent="0.35">
      <c r="A126" s="2">
        <v>45963</v>
      </c>
      <c r="B126">
        <v>2725</v>
      </c>
    </row>
    <row r="127" spans="1:2" x14ac:dyDescent="0.35">
      <c r="A127" s="2">
        <v>45964</v>
      </c>
      <c r="B127">
        <v>2829</v>
      </c>
    </row>
    <row r="128" spans="1:2" x14ac:dyDescent="0.35">
      <c r="A128" s="2">
        <v>45965</v>
      </c>
      <c r="B128">
        <v>1697</v>
      </c>
    </row>
    <row r="129" spans="1:2" x14ac:dyDescent="0.35">
      <c r="A129" s="2">
        <v>45966</v>
      </c>
      <c r="B129">
        <v>3160</v>
      </c>
    </row>
    <row r="130" spans="1:2" x14ac:dyDescent="0.35">
      <c r="A130" s="2">
        <v>45967</v>
      </c>
      <c r="B130">
        <v>2793</v>
      </c>
    </row>
    <row r="131" spans="1:2" x14ac:dyDescent="0.35">
      <c r="A131" s="2">
        <v>45968</v>
      </c>
      <c r="B131">
        <v>4991</v>
      </c>
    </row>
    <row r="132" spans="1:2" x14ac:dyDescent="0.35">
      <c r="A132" s="2">
        <v>45969</v>
      </c>
      <c r="B132">
        <v>3727</v>
      </c>
    </row>
    <row r="133" spans="1:2" x14ac:dyDescent="0.35">
      <c r="A133" s="2">
        <v>45970</v>
      </c>
      <c r="B133">
        <v>1463</v>
      </c>
    </row>
    <row r="134" spans="1:2" x14ac:dyDescent="0.35">
      <c r="A134" s="2">
        <v>45971</v>
      </c>
      <c r="B134">
        <v>2081</v>
      </c>
    </row>
    <row r="135" spans="1:2" x14ac:dyDescent="0.35">
      <c r="A135" s="2">
        <v>45972</v>
      </c>
      <c r="B135">
        <v>1763</v>
      </c>
    </row>
    <row r="136" spans="1:2" x14ac:dyDescent="0.35">
      <c r="A136" s="2">
        <v>45973</v>
      </c>
      <c r="B136">
        <v>1629</v>
      </c>
    </row>
    <row r="137" spans="1:2" x14ac:dyDescent="0.35">
      <c r="A137" s="2">
        <v>45974</v>
      </c>
      <c r="B137">
        <v>2138</v>
      </c>
    </row>
    <row r="138" spans="1:2" x14ac:dyDescent="0.35">
      <c r="A138" s="2">
        <v>45975</v>
      </c>
      <c r="B138">
        <v>3402</v>
      </c>
    </row>
    <row r="139" spans="1:2" x14ac:dyDescent="0.35">
      <c r="A139" s="2">
        <v>45976</v>
      </c>
      <c r="B139">
        <v>2337</v>
      </c>
    </row>
    <row r="140" spans="1:2" x14ac:dyDescent="0.35">
      <c r="A140" s="2">
        <v>45977</v>
      </c>
      <c r="B140">
        <v>1406</v>
      </c>
    </row>
    <row r="141" spans="1:2" x14ac:dyDescent="0.35">
      <c r="A141" s="2">
        <v>45978</v>
      </c>
      <c r="B141">
        <v>4129</v>
      </c>
    </row>
    <row r="142" spans="1:2" x14ac:dyDescent="0.35">
      <c r="A142" s="2">
        <v>45979</v>
      </c>
      <c r="B142">
        <v>2775</v>
      </c>
    </row>
    <row r="143" spans="1:2" x14ac:dyDescent="0.35">
      <c r="A143" s="2">
        <v>45980</v>
      </c>
      <c r="B143">
        <v>1382</v>
      </c>
    </row>
    <row r="144" spans="1:2" x14ac:dyDescent="0.35">
      <c r="A144" s="2">
        <v>45981</v>
      </c>
      <c r="B144">
        <v>809</v>
      </c>
    </row>
    <row r="145" spans="1:2" x14ac:dyDescent="0.35">
      <c r="A145" s="2">
        <v>45982</v>
      </c>
      <c r="B145">
        <v>4844</v>
      </c>
    </row>
    <row r="146" spans="1:2" x14ac:dyDescent="0.35">
      <c r="A146" s="2">
        <v>45983</v>
      </c>
      <c r="B146">
        <v>4513</v>
      </c>
    </row>
    <row r="147" spans="1:2" x14ac:dyDescent="0.35">
      <c r="A147" s="2">
        <v>45984</v>
      </c>
      <c r="B147">
        <v>3848</v>
      </c>
    </row>
    <row r="148" spans="1:2" x14ac:dyDescent="0.35">
      <c r="A148" s="2">
        <v>45985</v>
      </c>
      <c r="B148">
        <v>4879</v>
      </c>
    </row>
    <row r="149" spans="1:2" x14ac:dyDescent="0.35">
      <c r="A149" s="2">
        <v>45986</v>
      </c>
      <c r="B149">
        <v>763</v>
      </c>
    </row>
    <row r="150" spans="1:2" x14ac:dyDescent="0.35">
      <c r="A150" s="2">
        <v>45987</v>
      </c>
      <c r="B150">
        <v>2098</v>
      </c>
    </row>
    <row r="151" spans="1:2" x14ac:dyDescent="0.35">
      <c r="A151" s="2">
        <v>45988</v>
      </c>
      <c r="B151">
        <v>3545</v>
      </c>
    </row>
    <row r="152" spans="1:2" x14ac:dyDescent="0.35">
      <c r="A152" s="2">
        <v>45989</v>
      </c>
      <c r="B152">
        <v>3843</v>
      </c>
    </row>
    <row r="153" spans="1:2" x14ac:dyDescent="0.35">
      <c r="A153" s="2">
        <v>45990</v>
      </c>
      <c r="B153">
        <v>1595</v>
      </c>
    </row>
    <row r="154" spans="1:2" x14ac:dyDescent="0.35">
      <c r="A154" s="2">
        <v>45991</v>
      </c>
      <c r="B154">
        <v>3404</v>
      </c>
    </row>
    <row r="155" spans="1:2" x14ac:dyDescent="0.35">
      <c r="A155" s="2">
        <v>45992</v>
      </c>
      <c r="B155">
        <v>3863</v>
      </c>
    </row>
    <row r="156" spans="1:2" x14ac:dyDescent="0.35">
      <c r="A156" s="2">
        <v>45993</v>
      </c>
      <c r="B156">
        <v>1953</v>
      </c>
    </row>
    <row r="157" spans="1:2" x14ac:dyDescent="0.35">
      <c r="A157" s="2">
        <v>45994</v>
      </c>
      <c r="B157">
        <v>4759</v>
      </c>
    </row>
    <row r="158" spans="1:2" x14ac:dyDescent="0.35">
      <c r="A158" s="2">
        <v>45995</v>
      </c>
      <c r="B158">
        <v>1391</v>
      </c>
    </row>
    <row r="159" spans="1:2" x14ac:dyDescent="0.35">
      <c r="A159" s="2">
        <v>45996</v>
      </c>
      <c r="B159">
        <v>3681</v>
      </c>
    </row>
    <row r="160" spans="1:2" x14ac:dyDescent="0.35">
      <c r="A160" s="2">
        <v>45997</v>
      </c>
      <c r="B160">
        <v>3557</v>
      </c>
    </row>
    <row r="161" spans="1:2" x14ac:dyDescent="0.35">
      <c r="A161" s="2">
        <v>45998</v>
      </c>
      <c r="B161">
        <v>1736</v>
      </c>
    </row>
    <row r="162" spans="1:2" x14ac:dyDescent="0.35">
      <c r="A162" s="2">
        <v>45999</v>
      </c>
      <c r="B162">
        <v>3796</v>
      </c>
    </row>
    <row r="163" spans="1:2" x14ac:dyDescent="0.35">
      <c r="A163" s="2">
        <v>46000</v>
      </c>
      <c r="B163">
        <v>3099</v>
      </c>
    </row>
    <row r="164" spans="1:2" x14ac:dyDescent="0.35">
      <c r="A164" s="2">
        <v>46001</v>
      </c>
      <c r="B164">
        <v>3252</v>
      </c>
    </row>
    <row r="165" spans="1:2" x14ac:dyDescent="0.35">
      <c r="A165" s="2">
        <v>46002</v>
      </c>
      <c r="B165">
        <v>798</v>
      </c>
    </row>
    <row r="166" spans="1:2" x14ac:dyDescent="0.35">
      <c r="A166" s="2">
        <v>46003</v>
      </c>
      <c r="B166">
        <v>2260</v>
      </c>
    </row>
    <row r="167" spans="1:2" x14ac:dyDescent="0.35">
      <c r="A167" s="2">
        <v>46004</v>
      </c>
      <c r="B167">
        <v>4197</v>
      </c>
    </row>
    <row r="168" spans="1:2" x14ac:dyDescent="0.35">
      <c r="A168" s="2">
        <v>46005</v>
      </c>
      <c r="B168">
        <v>4837</v>
      </c>
    </row>
    <row r="169" spans="1:2" x14ac:dyDescent="0.35">
      <c r="A169" s="2">
        <v>46006</v>
      </c>
      <c r="B169">
        <v>954</v>
      </c>
    </row>
    <row r="170" spans="1:2" x14ac:dyDescent="0.35">
      <c r="A170" s="2">
        <v>46007</v>
      </c>
      <c r="B170">
        <v>3574</v>
      </c>
    </row>
    <row r="171" spans="1:2" x14ac:dyDescent="0.35">
      <c r="A171" s="2">
        <v>46008</v>
      </c>
      <c r="B171">
        <v>1807</v>
      </c>
    </row>
    <row r="172" spans="1:2" x14ac:dyDescent="0.35">
      <c r="A172" s="2">
        <v>46009</v>
      </c>
      <c r="B172">
        <v>2877</v>
      </c>
    </row>
    <row r="173" spans="1:2" x14ac:dyDescent="0.35">
      <c r="A173" s="2">
        <v>46010</v>
      </c>
      <c r="B173">
        <v>1833</v>
      </c>
    </row>
    <row r="174" spans="1:2" x14ac:dyDescent="0.35">
      <c r="A174" s="2">
        <v>46011</v>
      </c>
      <c r="B174">
        <v>3610</v>
      </c>
    </row>
    <row r="175" spans="1:2" x14ac:dyDescent="0.35">
      <c r="A175" s="2">
        <v>46012</v>
      </c>
      <c r="B175">
        <v>302</v>
      </c>
    </row>
    <row r="176" spans="1:2" x14ac:dyDescent="0.35">
      <c r="A176" s="2">
        <v>46013</v>
      </c>
      <c r="B176">
        <v>3355</v>
      </c>
    </row>
    <row r="177" spans="1:2" x14ac:dyDescent="0.35">
      <c r="A177" s="2">
        <v>46014</v>
      </c>
      <c r="B177">
        <v>4318</v>
      </c>
    </row>
    <row r="178" spans="1:2" x14ac:dyDescent="0.35">
      <c r="A178" s="2">
        <v>46015</v>
      </c>
      <c r="B178">
        <v>4596</v>
      </c>
    </row>
    <row r="179" spans="1:2" x14ac:dyDescent="0.35">
      <c r="A179" s="2">
        <v>46016</v>
      </c>
      <c r="B179">
        <v>866</v>
      </c>
    </row>
    <row r="180" spans="1:2" x14ac:dyDescent="0.35">
      <c r="A180" s="2">
        <v>46017</v>
      </c>
      <c r="B180">
        <v>4489</v>
      </c>
    </row>
    <row r="181" spans="1:2" x14ac:dyDescent="0.35">
      <c r="A181" s="2">
        <v>46018</v>
      </c>
      <c r="B181">
        <v>2427</v>
      </c>
    </row>
    <row r="182" spans="1:2" x14ac:dyDescent="0.35">
      <c r="A182" s="2">
        <v>46019</v>
      </c>
      <c r="B182">
        <v>3031</v>
      </c>
    </row>
    <row r="183" spans="1:2" x14ac:dyDescent="0.35">
      <c r="A183" s="2">
        <v>46020</v>
      </c>
      <c r="B183">
        <v>297</v>
      </c>
    </row>
    <row r="184" spans="1:2" x14ac:dyDescent="0.35">
      <c r="A184" s="2">
        <v>46021</v>
      </c>
      <c r="B184">
        <v>2030</v>
      </c>
    </row>
    <row r="185" spans="1:2" x14ac:dyDescent="0.35">
      <c r="A185" s="2">
        <v>46022</v>
      </c>
      <c r="B185">
        <v>3682</v>
      </c>
    </row>
    <row r="186" spans="1:2" x14ac:dyDescent="0.35">
      <c r="A186" s="2">
        <v>46023</v>
      </c>
      <c r="B186">
        <v>708</v>
      </c>
    </row>
    <row r="187" spans="1:2" x14ac:dyDescent="0.35">
      <c r="A187" s="2">
        <v>46024</v>
      </c>
      <c r="B187">
        <v>3372</v>
      </c>
    </row>
    <row r="188" spans="1:2" x14ac:dyDescent="0.35">
      <c r="A188" s="2">
        <v>46025</v>
      </c>
      <c r="B188">
        <v>1247</v>
      </c>
    </row>
    <row r="189" spans="1:2" x14ac:dyDescent="0.35">
      <c r="A189" s="2">
        <v>46026</v>
      </c>
      <c r="B189">
        <v>4382</v>
      </c>
    </row>
    <row r="190" spans="1:2" x14ac:dyDescent="0.35">
      <c r="A190" s="2">
        <v>46027</v>
      </c>
      <c r="B190">
        <v>3497</v>
      </c>
    </row>
    <row r="191" spans="1:2" x14ac:dyDescent="0.35">
      <c r="A191" s="2">
        <v>46028</v>
      </c>
      <c r="B191">
        <v>2611</v>
      </c>
    </row>
    <row r="192" spans="1:2" x14ac:dyDescent="0.35">
      <c r="A192" s="2">
        <v>46029</v>
      </c>
      <c r="B192">
        <v>1894</v>
      </c>
    </row>
    <row r="193" spans="1:2" x14ac:dyDescent="0.35">
      <c r="A193" s="2">
        <v>46030</v>
      </c>
      <c r="B193">
        <v>759</v>
      </c>
    </row>
    <row r="194" spans="1:2" x14ac:dyDescent="0.35">
      <c r="A194" s="2">
        <v>46031</v>
      </c>
      <c r="B194">
        <v>2911</v>
      </c>
    </row>
    <row r="195" spans="1:2" x14ac:dyDescent="0.35">
      <c r="A195" s="2">
        <v>46032</v>
      </c>
      <c r="B195">
        <v>1469</v>
      </c>
    </row>
    <row r="196" spans="1:2" x14ac:dyDescent="0.35">
      <c r="A196" s="2">
        <v>46033</v>
      </c>
      <c r="B196">
        <v>2086</v>
      </c>
    </row>
    <row r="197" spans="1:2" x14ac:dyDescent="0.35">
      <c r="A197" s="2">
        <v>46034</v>
      </c>
      <c r="B197">
        <v>246</v>
      </c>
    </row>
    <row r="198" spans="1:2" x14ac:dyDescent="0.35">
      <c r="A198" s="2">
        <v>46035</v>
      </c>
      <c r="B198">
        <v>3319</v>
      </c>
    </row>
    <row r="199" spans="1:2" x14ac:dyDescent="0.35">
      <c r="A199" s="2">
        <v>46036</v>
      </c>
      <c r="B199">
        <v>3011</v>
      </c>
    </row>
    <row r="200" spans="1:2" x14ac:dyDescent="0.35">
      <c r="A200" s="2">
        <v>46037</v>
      </c>
      <c r="B200">
        <v>1834</v>
      </c>
    </row>
    <row r="201" spans="1:2" x14ac:dyDescent="0.35">
      <c r="A201" s="2">
        <v>46038</v>
      </c>
      <c r="B201">
        <v>1943</v>
      </c>
    </row>
    <row r="202" spans="1:2" x14ac:dyDescent="0.35">
      <c r="A202" s="2">
        <v>46039</v>
      </c>
      <c r="B202">
        <v>588</v>
      </c>
    </row>
    <row r="203" spans="1:2" x14ac:dyDescent="0.35">
      <c r="A203" s="2">
        <v>46040</v>
      </c>
      <c r="B203">
        <v>3076</v>
      </c>
    </row>
    <row r="204" spans="1:2" x14ac:dyDescent="0.35">
      <c r="A204" s="2">
        <v>46041</v>
      </c>
      <c r="B204">
        <v>2059</v>
      </c>
    </row>
    <row r="205" spans="1:2" x14ac:dyDescent="0.35">
      <c r="A205" s="2">
        <v>46042</v>
      </c>
      <c r="B205">
        <v>2485</v>
      </c>
    </row>
    <row r="206" spans="1:2" x14ac:dyDescent="0.35">
      <c r="A206" s="2">
        <v>46043</v>
      </c>
      <c r="B206">
        <v>3019</v>
      </c>
    </row>
    <row r="207" spans="1:2" x14ac:dyDescent="0.35">
      <c r="A207" s="2">
        <v>46044</v>
      </c>
      <c r="B207">
        <v>4836</v>
      </c>
    </row>
    <row r="208" spans="1:2" x14ac:dyDescent="0.35">
      <c r="A208" s="2">
        <v>46045</v>
      </c>
      <c r="B208">
        <v>1902</v>
      </c>
    </row>
    <row r="209" spans="1:2" x14ac:dyDescent="0.35">
      <c r="A209" s="2">
        <v>46046</v>
      </c>
      <c r="B209">
        <v>4161</v>
      </c>
    </row>
    <row r="210" spans="1:2" x14ac:dyDescent="0.35">
      <c r="A210" s="2">
        <v>46047</v>
      </c>
      <c r="B210">
        <v>3469</v>
      </c>
    </row>
    <row r="211" spans="1:2" x14ac:dyDescent="0.35">
      <c r="A211" s="2">
        <v>46048</v>
      </c>
      <c r="B211">
        <v>362</v>
      </c>
    </row>
    <row r="212" spans="1:2" x14ac:dyDescent="0.35">
      <c r="A212" s="2">
        <v>46049</v>
      </c>
      <c r="B212">
        <v>723</v>
      </c>
    </row>
    <row r="213" spans="1:2" x14ac:dyDescent="0.35">
      <c r="A213" s="2">
        <v>46050</v>
      </c>
      <c r="B213">
        <v>1116</v>
      </c>
    </row>
    <row r="214" spans="1:2" x14ac:dyDescent="0.35">
      <c r="A214" s="2">
        <v>46051</v>
      </c>
      <c r="B214">
        <v>3743</v>
      </c>
    </row>
    <row r="215" spans="1:2" x14ac:dyDescent="0.35">
      <c r="A215" s="2">
        <v>46052</v>
      </c>
      <c r="B215">
        <v>2149</v>
      </c>
    </row>
    <row r="216" spans="1:2" x14ac:dyDescent="0.35">
      <c r="A216" s="2">
        <v>46053</v>
      </c>
      <c r="B216">
        <v>3823</v>
      </c>
    </row>
    <row r="217" spans="1:2" x14ac:dyDescent="0.35">
      <c r="A217" s="2">
        <v>46054</v>
      </c>
      <c r="B217">
        <v>4648</v>
      </c>
    </row>
    <row r="218" spans="1:2" x14ac:dyDescent="0.35">
      <c r="A218" s="2">
        <v>46055</v>
      </c>
      <c r="B218">
        <v>3208</v>
      </c>
    </row>
    <row r="219" spans="1:2" x14ac:dyDescent="0.35">
      <c r="A219" s="2">
        <v>46056</v>
      </c>
      <c r="B219">
        <v>4190</v>
      </c>
    </row>
    <row r="220" spans="1:2" x14ac:dyDescent="0.35">
      <c r="A220" s="2">
        <v>46057</v>
      </c>
      <c r="B220">
        <v>2156</v>
      </c>
    </row>
    <row r="221" spans="1:2" x14ac:dyDescent="0.35">
      <c r="A221" s="2">
        <v>46058</v>
      </c>
      <c r="B221">
        <v>3270</v>
      </c>
    </row>
    <row r="222" spans="1:2" x14ac:dyDescent="0.35">
      <c r="A222" s="2">
        <v>46059</v>
      </c>
      <c r="B222">
        <v>1782</v>
      </c>
    </row>
    <row r="223" spans="1:2" x14ac:dyDescent="0.35">
      <c r="A223" s="2">
        <v>46060</v>
      </c>
      <c r="B223">
        <v>2355</v>
      </c>
    </row>
    <row r="224" spans="1:2" x14ac:dyDescent="0.35">
      <c r="A224" s="2">
        <v>46061</v>
      </c>
      <c r="B224">
        <v>1254</v>
      </c>
    </row>
    <row r="225" spans="1:2" x14ac:dyDescent="0.35">
      <c r="A225" s="2">
        <v>46062</v>
      </c>
      <c r="B225">
        <v>4599</v>
      </c>
    </row>
    <row r="226" spans="1:2" x14ac:dyDescent="0.35">
      <c r="A226" s="2">
        <v>46063</v>
      </c>
      <c r="B226">
        <v>3291</v>
      </c>
    </row>
    <row r="227" spans="1:2" x14ac:dyDescent="0.35">
      <c r="A227" s="2">
        <v>46064</v>
      </c>
      <c r="B227">
        <v>1796</v>
      </c>
    </row>
    <row r="228" spans="1:2" x14ac:dyDescent="0.35">
      <c r="A228" s="2">
        <v>46065</v>
      </c>
      <c r="B228">
        <v>4091</v>
      </c>
    </row>
    <row r="229" spans="1:2" x14ac:dyDescent="0.35">
      <c r="A229" s="2">
        <v>46066</v>
      </c>
      <c r="B229">
        <v>4823</v>
      </c>
    </row>
    <row r="230" spans="1:2" x14ac:dyDescent="0.35">
      <c r="A230" s="2">
        <v>46067</v>
      </c>
      <c r="B230">
        <v>4782</v>
      </c>
    </row>
    <row r="231" spans="1:2" x14ac:dyDescent="0.35">
      <c r="A231" s="2">
        <v>46068</v>
      </c>
      <c r="B231">
        <v>1748</v>
      </c>
    </row>
    <row r="232" spans="1:2" x14ac:dyDescent="0.35">
      <c r="A232" s="2">
        <v>46069</v>
      </c>
      <c r="B232">
        <v>1545</v>
      </c>
    </row>
    <row r="233" spans="1:2" x14ac:dyDescent="0.35">
      <c r="A233" s="2">
        <v>46070</v>
      </c>
      <c r="B233">
        <v>4299</v>
      </c>
    </row>
    <row r="234" spans="1:2" x14ac:dyDescent="0.35">
      <c r="A234" s="2">
        <v>46071</v>
      </c>
      <c r="B234">
        <v>4023</v>
      </c>
    </row>
    <row r="235" spans="1:2" x14ac:dyDescent="0.35">
      <c r="A235" s="2">
        <v>46072</v>
      </c>
      <c r="B235">
        <v>353</v>
      </c>
    </row>
    <row r="236" spans="1:2" x14ac:dyDescent="0.35">
      <c r="A236" s="2">
        <v>46073</v>
      </c>
      <c r="B236">
        <v>3283</v>
      </c>
    </row>
    <row r="237" spans="1:2" x14ac:dyDescent="0.35">
      <c r="A237" s="2">
        <v>46074</v>
      </c>
      <c r="B237">
        <v>2657</v>
      </c>
    </row>
    <row r="238" spans="1:2" x14ac:dyDescent="0.35">
      <c r="A238" s="2">
        <v>46075</v>
      </c>
      <c r="B238">
        <v>198</v>
      </c>
    </row>
    <row r="239" spans="1:2" x14ac:dyDescent="0.35">
      <c r="A239" s="2">
        <v>46076</v>
      </c>
      <c r="B239">
        <v>2300</v>
      </c>
    </row>
    <row r="240" spans="1:2" x14ac:dyDescent="0.35">
      <c r="A240" s="2">
        <v>46077</v>
      </c>
      <c r="B240">
        <v>3061</v>
      </c>
    </row>
    <row r="241" spans="1:2" x14ac:dyDescent="0.35">
      <c r="A241" s="2">
        <v>46078</v>
      </c>
      <c r="B241">
        <v>4533</v>
      </c>
    </row>
    <row r="242" spans="1:2" x14ac:dyDescent="0.35">
      <c r="A242" s="2">
        <v>46079</v>
      </c>
      <c r="B242">
        <v>3877</v>
      </c>
    </row>
    <row r="243" spans="1:2" x14ac:dyDescent="0.35">
      <c r="A243" s="2">
        <v>46080</v>
      </c>
      <c r="B243">
        <v>2969</v>
      </c>
    </row>
    <row r="244" spans="1:2" x14ac:dyDescent="0.35">
      <c r="A244" s="2">
        <v>46081</v>
      </c>
      <c r="B244">
        <v>3334</v>
      </c>
    </row>
    <row r="245" spans="1:2" x14ac:dyDescent="0.35">
      <c r="A245" s="2">
        <v>46082</v>
      </c>
      <c r="B245">
        <v>3891</v>
      </c>
    </row>
    <row r="246" spans="1:2" x14ac:dyDescent="0.35">
      <c r="A246" s="2">
        <v>46083</v>
      </c>
      <c r="B246">
        <v>1056</v>
      </c>
    </row>
    <row r="247" spans="1:2" x14ac:dyDescent="0.35">
      <c r="A247" s="2">
        <v>46084</v>
      </c>
      <c r="B247">
        <v>4167</v>
      </c>
    </row>
    <row r="248" spans="1:2" x14ac:dyDescent="0.35">
      <c r="A248" s="2">
        <v>46085</v>
      </c>
      <c r="B248">
        <v>260</v>
      </c>
    </row>
    <row r="249" spans="1:2" x14ac:dyDescent="0.35">
      <c r="A249" s="2">
        <v>46086</v>
      </c>
      <c r="B249">
        <v>4593</v>
      </c>
    </row>
    <row r="250" spans="1:2" x14ac:dyDescent="0.35">
      <c r="A250" s="2">
        <v>46087</v>
      </c>
      <c r="B250">
        <v>1400</v>
      </c>
    </row>
    <row r="251" spans="1:2" x14ac:dyDescent="0.35">
      <c r="A251" s="2">
        <v>46088</v>
      </c>
      <c r="B251">
        <v>4087</v>
      </c>
    </row>
    <row r="252" spans="1:2" x14ac:dyDescent="0.35">
      <c r="A252" s="2">
        <v>46089</v>
      </c>
      <c r="B252">
        <v>1627</v>
      </c>
    </row>
    <row r="253" spans="1:2" x14ac:dyDescent="0.35">
      <c r="A253" s="2">
        <v>46090</v>
      </c>
      <c r="B253">
        <v>1318</v>
      </c>
    </row>
    <row r="254" spans="1:2" x14ac:dyDescent="0.35">
      <c r="A254" s="2">
        <v>46091</v>
      </c>
      <c r="B254">
        <v>4596</v>
      </c>
    </row>
    <row r="255" spans="1:2" x14ac:dyDescent="0.35">
      <c r="A255" s="2">
        <v>46092</v>
      </c>
      <c r="B255">
        <v>4835</v>
      </c>
    </row>
    <row r="256" spans="1:2" x14ac:dyDescent="0.35">
      <c r="A256" s="2">
        <v>46093</v>
      </c>
      <c r="B256">
        <v>3204</v>
      </c>
    </row>
    <row r="257" spans="1:2" x14ac:dyDescent="0.35">
      <c r="A257" s="2">
        <v>46094</v>
      </c>
      <c r="B257">
        <v>2835</v>
      </c>
    </row>
    <row r="258" spans="1:2" x14ac:dyDescent="0.35">
      <c r="A258" s="2">
        <v>46095</v>
      </c>
      <c r="B258">
        <v>4655</v>
      </c>
    </row>
    <row r="259" spans="1:2" x14ac:dyDescent="0.35">
      <c r="A259" s="2">
        <v>46096</v>
      </c>
      <c r="B259">
        <v>1054</v>
      </c>
    </row>
    <row r="260" spans="1:2" x14ac:dyDescent="0.35">
      <c r="A260" s="2">
        <v>46097</v>
      </c>
      <c r="B260">
        <v>4665</v>
      </c>
    </row>
    <row r="261" spans="1:2" x14ac:dyDescent="0.35">
      <c r="A261" s="2">
        <v>46098</v>
      </c>
      <c r="B261">
        <v>3546</v>
      </c>
    </row>
    <row r="262" spans="1:2" x14ac:dyDescent="0.35">
      <c r="A262" s="2">
        <v>46099</v>
      </c>
      <c r="B262">
        <v>1145</v>
      </c>
    </row>
    <row r="263" spans="1:2" x14ac:dyDescent="0.35">
      <c r="A263" s="2">
        <v>46100</v>
      </c>
      <c r="B263">
        <v>1793</v>
      </c>
    </row>
    <row r="264" spans="1:2" x14ac:dyDescent="0.35">
      <c r="A264" s="2">
        <v>46101</v>
      </c>
      <c r="B264">
        <v>3536</v>
      </c>
    </row>
    <row r="265" spans="1:2" x14ac:dyDescent="0.35">
      <c r="A265" s="2">
        <v>46102</v>
      </c>
      <c r="B265">
        <v>662</v>
      </c>
    </row>
    <row r="266" spans="1:2" x14ac:dyDescent="0.35">
      <c r="A266" s="2">
        <v>46103</v>
      </c>
      <c r="B266">
        <v>2585</v>
      </c>
    </row>
    <row r="267" spans="1:2" x14ac:dyDescent="0.35">
      <c r="A267" s="2">
        <v>46104</v>
      </c>
      <c r="B267">
        <v>3454</v>
      </c>
    </row>
    <row r="268" spans="1:2" x14ac:dyDescent="0.35">
      <c r="A268" s="2">
        <v>46105</v>
      </c>
      <c r="B268">
        <v>325</v>
      </c>
    </row>
    <row r="269" spans="1:2" x14ac:dyDescent="0.35">
      <c r="A269" s="2">
        <v>46106</v>
      </c>
      <c r="B269">
        <v>4993</v>
      </c>
    </row>
    <row r="270" spans="1:2" x14ac:dyDescent="0.35">
      <c r="A270" s="2">
        <v>46107</v>
      </c>
      <c r="B270">
        <v>1059</v>
      </c>
    </row>
    <row r="271" spans="1:2" x14ac:dyDescent="0.35">
      <c r="A271" s="2">
        <v>46108</v>
      </c>
      <c r="B271">
        <v>4648</v>
      </c>
    </row>
    <row r="272" spans="1:2" x14ac:dyDescent="0.35">
      <c r="A272" s="2">
        <v>46109</v>
      </c>
      <c r="B272">
        <v>3167</v>
      </c>
    </row>
    <row r="273" spans="1:2" x14ac:dyDescent="0.35">
      <c r="A273" s="2">
        <v>46110</v>
      </c>
      <c r="B273">
        <v>915</v>
      </c>
    </row>
    <row r="274" spans="1:2" x14ac:dyDescent="0.35">
      <c r="A274" s="2">
        <v>46111</v>
      </c>
      <c r="B274">
        <v>4854</v>
      </c>
    </row>
    <row r="275" spans="1:2" x14ac:dyDescent="0.35">
      <c r="A275" s="2">
        <v>46112</v>
      </c>
      <c r="B275">
        <v>4742</v>
      </c>
    </row>
    <row r="276" spans="1:2" x14ac:dyDescent="0.35">
      <c r="A276" s="2">
        <v>46113</v>
      </c>
      <c r="B276">
        <v>3220</v>
      </c>
    </row>
    <row r="277" spans="1:2" x14ac:dyDescent="0.35">
      <c r="A277" s="2">
        <v>46114</v>
      </c>
      <c r="B277">
        <v>116</v>
      </c>
    </row>
    <row r="278" spans="1:2" x14ac:dyDescent="0.35">
      <c r="A278" s="2">
        <v>46115</v>
      </c>
      <c r="B278">
        <v>1343</v>
      </c>
    </row>
    <row r="279" spans="1:2" x14ac:dyDescent="0.35">
      <c r="A279" s="2">
        <v>46116</v>
      </c>
      <c r="B279">
        <v>2305</v>
      </c>
    </row>
    <row r="280" spans="1:2" x14ac:dyDescent="0.35">
      <c r="A280" s="2">
        <v>46117</v>
      </c>
      <c r="B280">
        <v>2624</v>
      </c>
    </row>
    <row r="281" spans="1:2" x14ac:dyDescent="0.35">
      <c r="A281" s="2">
        <v>46118</v>
      </c>
      <c r="B281">
        <v>1169</v>
      </c>
    </row>
    <row r="282" spans="1:2" x14ac:dyDescent="0.35">
      <c r="A282" s="2">
        <v>46119</v>
      </c>
      <c r="B282">
        <v>3544</v>
      </c>
    </row>
    <row r="283" spans="1:2" x14ac:dyDescent="0.35">
      <c r="A283" s="2">
        <v>46120</v>
      </c>
      <c r="B283">
        <v>2665</v>
      </c>
    </row>
    <row r="284" spans="1:2" x14ac:dyDescent="0.35">
      <c r="A284" s="2">
        <v>46121</v>
      </c>
      <c r="B284">
        <v>1160</v>
      </c>
    </row>
    <row r="285" spans="1:2" x14ac:dyDescent="0.35">
      <c r="A285" s="2">
        <v>46122</v>
      </c>
      <c r="B285">
        <v>2427</v>
      </c>
    </row>
    <row r="286" spans="1:2" x14ac:dyDescent="0.35">
      <c r="A286" s="2">
        <v>46123</v>
      </c>
      <c r="B286">
        <v>3520</v>
      </c>
    </row>
    <row r="287" spans="1:2" x14ac:dyDescent="0.35">
      <c r="A287" s="2">
        <v>46124</v>
      </c>
      <c r="B287">
        <v>401</v>
      </c>
    </row>
    <row r="288" spans="1:2" x14ac:dyDescent="0.35">
      <c r="A288" s="2">
        <v>46125</v>
      </c>
      <c r="B288">
        <v>4376</v>
      </c>
    </row>
    <row r="289" spans="1:2" x14ac:dyDescent="0.35">
      <c r="A289" s="2">
        <v>46126</v>
      </c>
      <c r="B289">
        <v>706</v>
      </c>
    </row>
    <row r="290" spans="1:2" x14ac:dyDescent="0.35">
      <c r="A290" s="2">
        <v>46127</v>
      </c>
      <c r="B290">
        <v>3270</v>
      </c>
    </row>
    <row r="291" spans="1:2" x14ac:dyDescent="0.35">
      <c r="A291" s="2">
        <v>46128</v>
      </c>
      <c r="B291">
        <v>799</v>
      </c>
    </row>
    <row r="292" spans="1:2" x14ac:dyDescent="0.35">
      <c r="A292" s="2">
        <v>46129</v>
      </c>
      <c r="B292">
        <v>1239</v>
      </c>
    </row>
    <row r="293" spans="1:2" x14ac:dyDescent="0.35">
      <c r="A293" s="2">
        <v>46130</v>
      </c>
      <c r="B293">
        <v>290</v>
      </c>
    </row>
    <row r="294" spans="1:2" x14ac:dyDescent="0.35">
      <c r="A294" s="2">
        <v>46131</v>
      </c>
      <c r="B294">
        <v>2400</v>
      </c>
    </row>
    <row r="295" spans="1:2" x14ac:dyDescent="0.35">
      <c r="A295" s="2">
        <v>46132</v>
      </c>
      <c r="B295">
        <v>1080</v>
      </c>
    </row>
    <row r="296" spans="1:2" x14ac:dyDescent="0.35">
      <c r="A296" s="2">
        <v>46133</v>
      </c>
      <c r="B296">
        <v>3075</v>
      </c>
    </row>
    <row r="297" spans="1:2" x14ac:dyDescent="0.35">
      <c r="A297" s="2">
        <v>46134</v>
      </c>
      <c r="B297">
        <v>1284</v>
      </c>
    </row>
    <row r="298" spans="1:2" x14ac:dyDescent="0.35">
      <c r="A298" s="2">
        <v>46135</v>
      </c>
      <c r="B298">
        <v>3427</v>
      </c>
    </row>
    <row r="299" spans="1:2" x14ac:dyDescent="0.35">
      <c r="A299" s="2">
        <v>46136</v>
      </c>
      <c r="B299">
        <v>3494</v>
      </c>
    </row>
    <row r="300" spans="1:2" x14ac:dyDescent="0.35">
      <c r="A300" s="2">
        <v>46137</v>
      </c>
      <c r="B300">
        <v>227</v>
      </c>
    </row>
    <row r="301" spans="1:2" x14ac:dyDescent="0.35">
      <c r="A301" s="2">
        <v>46138</v>
      </c>
      <c r="B301">
        <v>2165</v>
      </c>
    </row>
    <row r="302" spans="1:2" x14ac:dyDescent="0.35">
      <c r="A302" s="2">
        <v>46139</v>
      </c>
      <c r="B302">
        <v>1916</v>
      </c>
    </row>
    <row r="303" spans="1:2" x14ac:dyDescent="0.35">
      <c r="A303" s="2">
        <v>46140</v>
      </c>
      <c r="B303">
        <v>669</v>
      </c>
    </row>
    <row r="304" spans="1:2" x14ac:dyDescent="0.35">
      <c r="A304" s="2">
        <v>46141</v>
      </c>
      <c r="B304">
        <v>1995</v>
      </c>
    </row>
    <row r="305" spans="1:2" x14ac:dyDescent="0.35">
      <c r="A305" s="2">
        <v>46142</v>
      </c>
      <c r="B305">
        <v>2833</v>
      </c>
    </row>
    <row r="306" spans="1:2" x14ac:dyDescent="0.35">
      <c r="A306" s="2">
        <v>46143</v>
      </c>
      <c r="B306">
        <v>3963</v>
      </c>
    </row>
    <row r="307" spans="1:2" x14ac:dyDescent="0.35">
      <c r="A307" s="2">
        <v>46144</v>
      </c>
      <c r="B307">
        <v>4821</v>
      </c>
    </row>
    <row r="308" spans="1:2" x14ac:dyDescent="0.35">
      <c r="A308" s="2">
        <v>46145</v>
      </c>
      <c r="B308">
        <v>4114</v>
      </c>
    </row>
    <row r="309" spans="1:2" x14ac:dyDescent="0.35">
      <c r="A309" s="2">
        <v>46146</v>
      </c>
      <c r="B309">
        <v>3001</v>
      </c>
    </row>
    <row r="310" spans="1:2" x14ac:dyDescent="0.35">
      <c r="A310" s="2">
        <v>46147</v>
      </c>
      <c r="B310">
        <v>1786</v>
      </c>
    </row>
    <row r="311" spans="1:2" x14ac:dyDescent="0.35">
      <c r="A311" s="2">
        <v>46148</v>
      </c>
      <c r="B311">
        <v>3109</v>
      </c>
    </row>
    <row r="312" spans="1:2" x14ac:dyDescent="0.35">
      <c r="A312" s="2">
        <v>46149</v>
      </c>
      <c r="B312">
        <v>254</v>
      </c>
    </row>
    <row r="313" spans="1:2" x14ac:dyDescent="0.35">
      <c r="A313" s="2">
        <v>46150</v>
      </c>
      <c r="B313">
        <v>2637</v>
      </c>
    </row>
    <row r="314" spans="1:2" x14ac:dyDescent="0.35">
      <c r="A314" s="2">
        <v>46151</v>
      </c>
      <c r="B314">
        <v>1509</v>
      </c>
    </row>
    <row r="315" spans="1:2" x14ac:dyDescent="0.35">
      <c r="A315" s="2">
        <v>46152</v>
      </c>
      <c r="B315">
        <v>4157</v>
      </c>
    </row>
    <row r="316" spans="1:2" x14ac:dyDescent="0.35">
      <c r="A316" s="2">
        <v>46153</v>
      </c>
      <c r="B316">
        <v>884</v>
      </c>
    </row>
    <row r="317" spans="1:2" x14ac:dyDescent="0.35">
      <c r="A317" s="2">
        <v>46154</v>
      </c>
      <c r="B317">
        <v>3275</v>
      </c>
    </row>
    <row r="318" spans="1:2" x14ac:dyDescent="0.35">
      <c r="A318" s="2">
        <v>46155</v>
      </c>
      <c r="B318">
        <v>4441</v>
      </c>
    </row>
    <row r="319" spans="1:2" x14ac:dyDescent="0.35">
      <c r="A319" s="2">
        <v>46156</v>
      </c>
      <c r="B319">
        <v>2906</v>
      </c>
    </row>
    <row r="320" spans="1:2" x14ac:dyDescent="0.35">
      <c r="A320" s="2">
        <v>46157</v>
      </c>
      <c r="B320">
        <v>637</v>
      </c>
    </row>
    <row r="321" spans="1:5" x14ac:dyDescent="0.35">
      <c r="A321" s="2">
        <v>46158</v>
      </c>
      <c r="B321">
        <v>1941</v>
      </c>
    </row>
    <row r="322" spans="1:5" x14ac:dyDescent="0.35">
      <c r="A322" s="2">
        <v>46159</v>
      </c>
      <c r="B322">
        <v>2555</v>
      </c>
    </row>
    <row r="323" spans="1:5" x14ac:dyDescent="0.35">
      <c r="A323" s="2">
        <v>46160</v>
      </c>
      <c r="B323">
        <v>624</v>
      </c>
    </row>
    <row r="324" spans="1:5" x14ac:dyDescent="0.35">
      <c r="A324" s="2">
        <v>46161</v>
      </c>
      <c r="B324">
        <v>3050</v>
      </c>
    </row>
    <row r="325" spans="1:5" x14ac:dyDescent="0.35">
      <c r="A325" s="2">
        <v>46162</v>
      </c>
      <c r="B325">
        <v>4231</v>
      </c>
    </row>
    <row r="326" spans="1:5" x14ac:dyDescent="0.35">
      <c r="A326" s="2">
        <v>46163</v>
      </c>
      <c r="B326">
        <v>4880</v>
      </c>
    </row>
    <row r="327" spans="1:5" x14ac:dyDescent="0.35">
      <c r="A327" s="2">
        <v>46164</v>
      </c>
      <c r="B327">
        <v>4215</v>
      </c>
      <c r="C327">
        <v>4215</v>
      </c>
      <c r="D327" s="10">
        <v>4215</v>
      </c>
      <c r="E327" s="10">
        <v>4215</v>
      </c>
    </row>
    <row r="328" spans="1:5" x14ac:dyDescent="0.35">
      <c r="A328" s="2">
        <v>46165</v>
      </c>
      <c r="C328">
        <f t="shared" ref="C328:C359" si="0">_xlfn.FORECAST.ETS(A328,$B$2:$B$327,$A$2:$A$327,1,1)</f>
        <v>4215.5366484969963</v>
      </c>
      <c r="D328" s="10">
        <f t="shared" ref="D328:D359" si="1">C328-_xlfn.FORECAST.ETS.CONFINT(A328,$B$2:$B$327,$A$2:$A$327,0.95,1,1)</f>
        <v>1374.5889469091935</v>
      </c>
      <c r="E328" s="10">
        <f t="shared" ref="E328:E359" si="2">C328+_xlfn.FORECAST.ETS.CONFINT(A328,$B$2:$B$327,$A$2:$A$327,0.95,1,1)</f>
        <v>7056.4843500847992</v>
      </c>
    </row>
    <row r="329" spans="1:5" x14ac:dyDescent="0.35">
      <c r="A329" s="2">
        <v>46166</v>
      </c>
      <c r="C329">
        <f t="shared" si="0"/>
        <v>4216.0732969939936</v>
      </c>
      <c r="D329" s="10">
        <f t="shared" si="1"/>
        <v>1360.6721081343503</v>
      </c>
      <c r="E329" s="10">
        <f t="shared" si="2"/>
        <v>7071.4744858536369</v>
      </c>
    </row>
    <row r="330" spans="1:5" x14ac:dyDescent="0.35">
      <c r="A330" s="2">
        <v>46167</v>
      </c>
      <c r="C330">
        <f t="shared" si="0"/>
        <v>4216.6099454909918</v>
      </c>
      <c r="D330" s="10">
        <f t="shared" si="1"/>
        <v>1346.5426178407724</v>
      </c>
      <c r="E330" s="10">
        <f t="shared" si="2"/>
        <v>7086.6772731412111</v>
      </c>
    </row>
    <row r="331" spans="1:5" x14ac:dyDescent="0.35">
      <c r="A331" s="2">
        <v>46168</v>
      </c>
      <c r="C331">
        <f t="shared" si="0"/>
        <v>4217.146593987989</v>
      </c>
      <c r="D331" s="10">
        <f t="shared" si="1"/>
        <v>1332.2009215641001</v>
      </c>
      <c r="E331" s="10">
        <f t="shared" si="2"/>
        <v>7102.092266411878</v>
      </c>
    </row>
    <row r="332" spans="1:5" x14ac:dyDescent="0.35">
      <c r="A332" s="2">
        <v>46169</v>
      </c>
      <c r="C332">
        <f t="shared" si="0"/>
        <v>4217.6832424849863</v>
      </c>
      <c r="D332" s="10">
        <f t="shared" si="1"/>
        <v>1317.6475023457529</v>
      </c>
      <c r="E332" s="10">
        <f t="shared" si="2"/>
        <v>7117.7189826242193</v>
      </c>
    </row>
    <row r="333" spans="1:5" x14ac:dyDescent="0.35">
      <c r="A333" s="2">
        <v>46170</v>
      </c>
      <c r="C333">
        <f t="shared" si="0"/>
        <v>4218.2198909819836</v>
      </c>
      <c r="D333" s="10">
        <f t="shared" si="1"/>
        <v>1302.8828794247061</v>
      </c>
      <c r="E333" s="10">
        <f t="shared" si="2"/>
        <v>7133.5569025392615</v>
      </c>
    </row>
    <row r="334" spans="1:5" x14ac:dyDescent="0.35">
      <c r="A334" s="2">
        <v>46171</v>
      </c>
      <c r="C334">
        <f t="shared" si="0"/>
        <v>4218.7565394789817</v>
      </c>
      <c r="D334" s="10">
        <f t="shared" si="1"/>
        <v>1287.9076069310363</v>
      </c>
      <c r="E334" s="10">
        <f t="shared" si="2"/>
        <v>7149.6054720269276</v>
      </c>
    </row>
    <row r="335" spans="1:5" x14ac:dyDescent="0.35">
      <c r="A335" s="2">
        <v>46172</v>
      </c>
      <c r="C335">
        <f t="shared" si="0"/>
        <v>4219.293187975979</v>
      </c>
      <c r="D335" s="10">
        <f t="shared" si="1"/>
        <v>1272.722272583354</v>
      </c>
      <c r="E335" s="10">
        <f t="shared" si="2"/>
        <v>7165.8641033686035</v>
      </c>
    </row>
    <row r="336" spans="1:5" x14ac:dyDescent="0.35">
      <c r="A336" s="2">
        <v>46173</v>
      </c>
      <c r="C336">
        <f t="shared" si="0"/>
        <v>4219.8298364729762</v>
      </c>
      <c r="D336" s="10">
        <f t="shared" si="1"/>
        <v>1257.327496392159</v>
      </c>
      <c r="E336" s="10">
        <f t="shared" si="2"/>
        <v>7182.332176553793</v>
      </c>
    </row>
    <row r="337" spans="1:5" x14ac:dyDescent="0.35">
      <c r="A337" s="2">
        <v>46174</v>
      </c>
      <c r="C337">
        <f t="shared" si="0"/>
        <v>4220.3664849699735</v>
      </c>
      <c r="D337" s="10">
        <f t="shared" si="1"/>
        <v>1241.7239293710531</v>
      </c>
      <c r="E337" s="10">
        <f t="shared" si="2"/>
        <v>7199.0090405688934</v>
      </c>
    </row>
    <row r="338" spans="1:5" x14ac:dyDescent="0.35">
      <c r="A338" s="2">
        <v>46175</v>
      </c>
      <c r="C338">
        <f t="shared" si="0"/>
        <v>4220.9031334669708</v>
      </c>
      <c r="D338" s="10">
        <f t="shared" si="1"/>
        <v>1225.9122522576358</v>
      </c>
      <c r="E338" s="10">
        <f t="shared" si="2"/>
        <v>7215.8940146763052</v>
      </c>
    </row>
    <row r="339" spans="1:5" x14ac:dyDescent="0.35">
      <c r="A339" s="2">
        <v>46176</v>
      </c>
      <c r="C339">
        <f t="shared" si="0"/>
        <v>4221.4397819639689</v>
      </c>
      <c r="D339" s="10">
        <f t="shared" si="1"/>
        <v>1209.893174245834</v>
      </c>
      <c r="E339" s="10">
        <f t="shared" si="2"/>
        <v>7232.9863896821043</v>
      </c>
    </row>
    <row r="340" spans="1:5" x14ac:dyDescent="0.35">
      <c r="A340" s="2">
        <v>46177</v>
      </c>
      <c r="C340">
        <f t="shared" si="0"/>
        <v>4221.9764304609662</v>
      </c>
      <c r="D340" s="10">
        <f t="shared" si="1"/>
        <v>1193.6674317312845</v>
      </c>
      <c r="E340" s="10">
        <f t="shared" si="2"/>
        <v>7250.2854291906478</v>
      </c>
    </row>
    <row r="341" spans="1:5" x14ac:dyDescent="0.35">
      <c r="A341" s="2">
        <v>46178</v>
      </c>
      <c r="C341">
        <f t="shared" si="0"/>
        <v>4222.5130789579634</v>
      </c>
      <c r="D341" s="10">
        <f t="shared" si="1"/>
        <v>1177.2357870713217</v>
      </c>
      <c r="E341" s="10">
        <f t="shared" si="2"/>
        <v>7267.7903708446047</v>
      </c>
    </row>
    <row r="342" spans="1:5" x14ac:dyDescent="0.35">
      <c r="A342" s="2">
        <v>46179</v>
      </c>
      <c r="C342">
        <f t="shared" si="0"/>
        <v>4223.0497274549607</v>
      </c>
      <c r="D342" s="10">
        <f t="shared" si="1"/>
        <v>1160.5990273609805</v>
      </c>
      <c r="E342" s="10">
        <f t="shared" si="2"/>
        <v>7285.5004275489409</v>
      </c>
    </row>
    <row r="343" spans="1:5" x14ac:dyDescent="0.35">
      <c r="A343" s="2">
        <v>46180</v>
      </c>
      <c r="C343">
        <f t="shared" si="0"/>
        <v>4223.5863759519589</v>
      </c>
      <c r="D343" s="10">
        <f t="shared" si="1"/>
        <v>1143.7579632263632</v>
      </c>
      <c r="E343" s="10">
        <f t="shared" si="2"/>
        <v>7303.4147886775545</v>
      </c>
    </row>
    <row r="344" spans="1:5" x14ac:dyDescent="0.35">
      <c r="A344" s="2">
        <v>46181</v>
      </c>
      <c r="C344">
        <f t="shared" si="0"/>
        <v>4224.1230244489561</v>
      </c>
      <c r="D344" s="10">
        <f t="shared" si="1"/>
        <v>1126.7134276365841</v>
      </c>
      <c r="E344" s="10">
        <f t="shared" si="2"/>
        <v>7321.5326212613281</v>
      </c>
    </row>
    <row r="345" spans="1:5" x14ac:dyDescent="0.35">
      <c r="A345" s="2">
        <v>46182</v>
      </c>
      <c r="C345">
        <f t="shared" si="0"/>
        <v>4224.6596729459534</v>
      </c>
      <c r="D345" s="10">
        <f t="shared" si="1"/>
        <v>1109.4662747354409</v>
      </c>
      <c r="E345" s="10">
        <f t="shared" si="2"/>
        <v>7339.8530711564654</v>
      </c>
    </row>
    <row r="346" spans="1:5" x14ac:dyDescent="0.35">
      <c r="A346" s="2">
        <v>46183</v>
      </c>
      <c r="C346">
        <f t="shared" si="0"/>
        <v>4225.1963214429506</v>
      </c>
      <c r="D346" s="10">
        <f t="shared" si="1"/>
        <v>1092.0173786938331</v>
      </c>
      <c r="E346" s="10">
        <f t="shared" si="2"/>
        <v>7358.3752641920682</v>
      </c>
    </row>
    <row r="347" spans="1:5" x14ac:dyDescent="0.35">
      <c r="A347" s="2">
        <v>46184</v>
      </c>
      <c r="C347">
        <f t="shared" si="0"/>
        <v>4225.7329699399479</v>
      </c>
      <c r="D347" s="10">
        <f t="shared" si="1"/>
        <v>1074.3676325838642</v>
      </c>
      <c r="E347" s="10">
        <f t="shared" si="2"/>
        <v>7377.0983072960316</v>
      </c>
    </row>
    <row r="348" spans="1:5" x14ac:dyDescent="0.35">
      <c r="A348" s="2">
        <v>46185</v>
      </c>
      <c r="C348">
        <f t="shared" si="0"/>
        <v>4226.2696184369461</v>
      </c>
      <c r="D348" s="10">
        <f t="shared" si="1"/>
        <v>1056.5179472754835</v>
      </c>
      <c r="E348" s="10">
        <f t="shared" si="2"/>
        <v>7396.0212895984087</v>
      </c>
    </row>
    <row r="349" spans="1:5" x14ac:dyDescent="0.35">
      <c r="A349" s="2">
        <v>46186</v>
      </c>
      <c r="C349">
        <f t="shared" si="0"/>
        <v>4226.8062669339433</v>
      </c>
      <c r="D349" s="10">
        <f t="shared" si="1"/>
        <v>1038.4692503564065</v>
      </c>
      <c r="E349" s="10">
        <f t="shared" si="2"/>
        <v>7415.1432835114801</v>
      </c>
    </row>
    <row r="350" spans="1:5" x14ac:dyDescent="0.35">
      <c r="A350" s="2">
        <v>46187</v>
      </c>
      <c r="C350">
        <f t="shared" si="0"/>
        <v>4227.3429154309406</v>
      </c>
      <c r="D350" s="10">
        <f t="shared" si="1"/>
        <v>1020.2224850759944</v>
      </c>
      <c r="E350" s="10">
        <f t="shared" si="2"/>
        <v>7434.4633457858872</v>
      </c>
    </row>
    <row r="351" spans="1:5" x14ac:dyDescent="0.35">
      <c r="A351" s="2">
        <v>46188</v>
      </c>
      <c r="C351">
        <f t="shared" si="0"/>
        <v>4227.8795639279379</v>
      </c>
      <c r="D351" s="10">
        <f t="shared" si="1"/>
        <v>1001.7786093136506</v>
      </c>
      <c r="E351" s="10">
        <f t="shared" si="2"/>
        <v>7453.9805185422247</v>
      </c>
    </row>
    <row r="352" spans="1:5" x14ac:dyDescent="0.35">
      <c r="A352" s="2">
        <v>46189</v>
      </c>
      <c r="C352">
        <f t="shared" si="0"/>
        <v>4228.4162124249351</v>
      </c>
      <c r="D352" s="10">
        <f t="shared" si="1"/>
        <v>983.13859457224953</v>
      </c>
      <c r="E352" s="10">
        <f t="shared" si="2"/>
        <v>7473.6938302776207</v>
      </c>
    </row>
    <row r="353" spans="1:5" x14ac:dyDescent="0.35">
      <c r="A353" s="2">
        <v>46190</v>
      </c>
      <c r="C353">
        <f t="shared" si="0"/>
        <v>4228.9528609219333</v>
      </c>
      <c r="D353" s="10">
        <f t="shared" si="1"/>
        <v>964.30342499700873</v>
      </c>
      <c r="E353" s="10">
        <f t="shared" si="2"/>
        <v>7493.6022968468578</v>
      </c>
    </row>
    <row r="354" spans="1:5" x14ac:dyDescent="0.35">
      <c r="A354" s="2">
        <v>46191</v>
      </c>
      <c r="C354">
        <f t="shared" si="0"/>
        <v>4229.4895094189305</v>
      </c>
      <c r="D354" s="10">
        <f t="shared" si="1"/>
        <v>945.27409642012844</v>
      </c>
      <c r="E354" s="10">
        <f t="shared" si="2"/>
        <v>7513.7049224177326</v>
      </c>
    </row>
    <row r="355" spans="1:5" x14ac:dyDescent="0.35">
      <c r="A355" s="2">
        <v>46192</v>
      </c>
      <c r="C355">
        <f t="shared" si="0"/>
        <v>4230.0261579159278</v>
      </c>
      <c r="D355" s="10">
        <f t="shared" si="1"/>
        <v>926.05161543150189</v>
      </c>
      <c r="E355" s="10">
        <f t="shared" si="2"/>
        <v>7534.0007004003537</v>
      </c>
    </row>
    <row r="356" spans="1:5" x14ac:dyDescent="0.35">
      <c r="A356" s="2">
        <v>46193</v>
      </c>
      <c r="C356">
        <f t="shared" si="0"/>
        <v>4230.5628064129251</v>
      </c>
      <c r="D356" s="10">
        <f t="shared" si="1"/>
        <v>906.63699847565158</v>
      </c>
      <c r="E356" s="10">
        <f t="shared" si="2"/>
        <v>7554.488614350199</v>
      </c>
    </row>
    <row r="357" spans="1:5" x14ac:dyDescent="0.35">
      <c r="A357" s="2">
        <v>46194</v>
      </c>
      <c r="C357">
        <f t="shared" si="0"/>
        <v>4231.0994549099232</v>
      </c>
      <c r="D357" s="10">
        <f t="shared" si="1"/>
        <v>887.0312709750574</v>
      </c>
      <c r="E357" s="10">
        <f t="shared" si="2"/>
        <v>7575.1676388447886</v>
      </c>
    </row>
    <row r="358" spans="1:5" x14ac:dyDescent="0.35">
      <c r="A358" s="2">
        <v>46195</v>
      </c>
      <c r="C358">
        <f t="shared" si="0"/>
        <v>4231.6361034069205</v>
      </c>
      <c r="D358" s="10">
        <f t="shared" si="1"/>
        <v>867.23546647992362</v>
      </c>
      <c r="E358" s="10">
        <f t="shared" si="2"/>
        <v>7596.0367403339169</v>
      </c>
    </row>
    <row r="359" spans="1:5" x14ac:dyDescent="0.35">
      <c r="A359" s="2">
        <v>46196</v>
      </c>
      <c r="C359">
        <f t="shared" si="0"/>
        <v>4232.1727519039177</v>
      </c>
      <c r="D359" s="10">
        <f t="shared" si="1"/>
        <v>847.2506258444123</v>
      </c>
      <c r="E359" s="10">
        <f t="shared" si="2"/>
        <v>7617.0948779634236</v>
      </c>
    </row>
    <row r="360" spans="1:5" x14ac:dyDescent="0.35">
      <c r="A360" s="2">
        <v>46197</v>
      </c>
      <c r="C360">
        <f t="shared" ref="C360:C391" si="3">_xlfn.FORECAST.ETS(A360,$B$2:$B$327,$A$2:$A$327,1,1)</f>
        <v>4232.709400400915</v>
      </c>
      <c r="D360" s="10">
        <f t="shared" ref="D360:D391" si="4">C360-_xlfn.FORECAST.ETS.CONFINT(A360,$B$2:$B$327,$A$2:$A$327,0.95,1,1)</f>
        <v>827.07779642928563</v>
      </c>
      <c r="E360" s="10">
        <f t="shared" ref="E360:E391" si="5">C360+_xlfn.FORECAST.ETS.CONFINT(A360,$B$2:$B$327,$A$2:$A$327,0.95,1,1)</f>
        <v>7638.3410043725444</v>
      </c>
    </row>
    <row r="361" spans="1:5" x14ac:dyDescent="0.35">
      <c r="A361" s="2">
        <v>46198</v>
      </c>
      <c r="C361">
        <f t="shared" si="3"/>
        <v>4233.2460488979123</v>
      </c>
      <c r="D361" s="10">
        <f t="shared" si="4"/>
        <v>806.71803133086223</v>
      </c>
      <c r="E361" s="10">
        <f t="shared" si="5"/>
        <v>7659.7740664649627</v>
      </c>
    </row>
    <row r="362" spans="1:5" x14ac:dyDescent="0.35">
      <c r="A362" s="2">
        <v>46199</v>
      </c>
      <c r="C362">
        <f t="shared" si="3"/>
        <v>4233.7826973949104</v>
      </c>
      <c r="D362" s="10">
        <f t="shared" si="4"/>
        <v>786.17238863614602</v>
      </c>
      <c r="E362" s="10">
        <f t="shared" si="5"/>
        <v>7681.3930061536748</v>
      </c>
    </row>
    <row r="363" spans="1:5" x14ac:dyDescent="0.35">
      <c r="A363" s="2">
        <v>46200</v>
      </c>
      <c r="C363">
        <f t="shared" si="3"/>
        <v>4234.3193458919077</v>
      </c>
      <c r="D363" s="10">
        <f t="shared" si="4"/>
        <v>765.44193070392794</v>
      </c>
      <c r="E363" s="10">
        <f t="shared" si="5"/>
        <v>7703.1967610798874</v>
      </c>
    </row>
    <row r="364" spans="1:5" x14ac:dyDescent="0.35">
      <c r="A364" s="2">
        <v>46201</v>
      </c>
      <c r="C364">
        <f t="shared" si="3"/>
        <v>4234.8559943889049</v>
      </c>
      <c r="D364" s="10">
        <f t="shared" si="4"/>
        <v>744.52772347164455</v>
      </c>
      <c r="E364" s="10">
        <f t="shared" si="5"/>
        <v>7725.1842653061649</v>
      </c>
    </row>
    <row r="365" spans="1:5" x14ac:dyDescent="0.35">
      <c r="A365" s="2">
        <v>46202</v>
      </c>
      <c r="C365">
        <f t="shared" si="3"/>
        <v>4235.3926428859022</v>
      </c>
      <c r="D365" s="10">
        <f t="shared" si="4"/>
        <v>723.43083578769756</v>
      </c>
      <c r="E365" s="10">
        <f t="shared" si="5"/>
        <v>7747.3544499841064</v>
      </c>
    </row>
    <row r="366" spans="1:5" x14ac:dyDescent="0.35">
      <c r="A366" s="2">
        <v>46203</v>
      </c>
      <c r="C366">
        <f t="shared" si="3"/>
        <v>4235.9292913829004</v>
      </c>
      <c r="D366" s="10">
        <f t="shared" si="4"/>
        <v>702.15233876894536</v>
      </c>
      <c r="E366" s="10">
        <f t="shared" si="5"/>
        <v>7769.7062439968558</v>
      </c>
    </row>
    <row r="367" spans="1:5" x14ac:dyDescent="0.35">
      <c r="A367" s="2">
        <v>46204</v>
      </c>
      <c r="C367">
        <f t="shared" si="3"/>
        <v>4236.4659398798976</v>
      </c>
      <c r="D367" s="10">
        <f t="shared" si="4"/>
        <v>680.69330518301513</v>
      </c>
      <c r="E367" s="10">
        <f t="shared" si="5"/>
        <v>7792.2385745767806</v>
      </c>
    </row>
    <row r="368" spans="1:5" x14ac:dyDescent="0.35">
      <c r="A368" s="2">
        <v>46205</v>
      </c>
      <c r="C368">
        <f t="shared" si="3"/>
        <v>4237.0025883768949</v>
      </c>
      <c r="D368" s="10">
        <f t="shared" si="4"/>
        <v>659.05480885507995</v>
      </c>
      <c r="E368" s="10">
        <f t="shared" si="5"/>
        <v>7814.9503678987094</v>
      </c>
    </row>
    <row r="369" spans="1:5" x14ac:dyDescent="0.35">
      <c r="A369" s="2">
        <v>46206</v>
      </c>
      <c r="C369">
        <f t="shared" si="3"/>
        <v>4237.5392368738922</v>
      </c>
      <c r="D369" s="10">
        <f t="shared" si="4"/>
        <v>637.23792409868338</v>
      </c>
      <c r="E369" s="10">
        <f t="shared" si="5"/>
        <v>7837.8405496491014</v>
      </c>
    </row>
    <row r="370" spans="1:5" x14ac:dyDescent="0.35">
      <c r="A370" s="2">
        <v>46207</v>
      </c>
      <c r="C370">
        <f t="shared" si="3"/>
        <v>4238.0758853708894</v>
      </c>
      <c r="D370" s="10">
        <f t="shared" si="4"/>
        <v>615.24372517021175</v>
      </c>
      <c r="E370" s="10">
        <f t="shared" si="5"/>
        <v>7860.9080455715666</v>
      </c>
    </row>
    <row r="371" spans="1:5" x14ac:dyDescent="0.35">
      <c r="A371" s="2">
        <v>46208</v>
      </c>
      <c r="C371">
        <f t="shared" si="3"/>
        <v>4238.6125338678876</v>
      </c>
      <c r="D371" s="10">
        <f t="shared" si="4"/>
        <v>593.07328574655867</v>
      </c>
      <c r="E371" s="10">
        <f t="shared" si="5"/>
        <v>7884.151781989216</v>
      </c>
    </row>
    <row r="372" spans="1:5" x14ac:dyDescent="0.35">
      <c r="A372" s="2">
        <v>46209</v>
      </c>
      <c r="C372">
        <f t="shared" si="3"/>
        <v>4239.1491823648848</v>
      </c>
      <c r="D372" s="10">
        <f t="shared" si="4"/>
        <v>570.72767842552275</v>
      </c>
      <c r="E372" s="10">
        <f t="shared" si="5"/>
        <v>7907.5706863042469</v>
      </c>
    </row>
    <row r="373" spans="1:5" x14ac:dyDescent="0.35">
      <c r="A373" s="2">
        <v>46210</v>
      </c>
      <c r="C373">
        <f t="shared" si="3"/>
        <v>4239.6858308618821</v>
      </c>
      <c r="D373" s="10">
        <f t="shared" si="4"/>
        <v>548.20797424847569</v>
      </c>
      <c r="E373" s="10">
        <f t="shared" si="5"/>
        <v>7931.1636874752885</v>
      </c>
    </row>
    <row r="374" spans="1:5" x14ac:dyDescent="0.35">
      <c r="A374" s="2">
        <v>46211</v>
      </c>
      <c r="C374">
        <f t="shared" si="3"/>
        <v>4240.2224793588794</v>
      </c>
      <c r="D374" s="10">
        <f t="shared" si="4"/>
        <v>525.51524224478317</v>
      </c>
      <c r="E374" s="10">
        <f t="shared" si="5"/>
        <v>7954.929716472976</v>
      </c>
    </row>
    <row r="375" spans="1:5" x14ac:dyDescent="0.35">
      <c r="A375" s="2">
        <v>46212</v>
      </c>
      <c r="C375">
        <f t="shared" si="3"/>
        <v>4240.7591278558775</v>
      </c>
      <c r="D375" s="10">
        <f t="shared" si="4"/>
        <v>502.65054899749657</v>
      </c>
      <c r="E375" s="10">
        <f t="shared" si="5"/>
        <v>7978.867706714258</v>
      </c>
    </row>
    <row r="376" spans="1:5" x14ac:dyDescent="0.35">
      <c r="A376" s="2">
        <v>46213</v>
      </c>
      <c r="C376">
        <f t="shared" si="3"/>
        <v>4241.2957763528748</v>
      </c>
      <c r="D376" s="10">
        <f t="shared" si="4"/>
        <v>479.6149582297935</v>
      </c>
      <c r="E376" s="10">
        <f t="shared" si="5"/>
        <v>8002.9765944759565</v>
      </c>
    </row>
    <row r="377" spans="1:5" x14ac:dyDescent="0.35">
      <c r="A377" s="2">
        <v>46214</v>
      </c>
      <c r="C377">
        <f t="shared" si="3"/>
        <v>4241.832424849872</v>
      </c>
      <c r="D377" s="10">
        <f t="shared" si="4"/>
        <v>456.40953041164721</v>
      </c>
      <c r="E377" s="10">
        <f t="shared" si="5"/>
        <v>8027.2553192880969</v>
      </c>
    </row>
    <row r="378" spans="1:5" x14ac:dyDescent="0.35">
      <c r="A378" s="2">
        <v>46215</v>
      </c>
      <c r="C378">
        <f t="shared" si="3"/>
        <v>4242.3690733468693</v>
      </c>
      <c r="D378" s="10">
        <f t="shared" si="4"/>
        <v>433.03532238619846</v>
      </c>
      <c r="E378" s="10">
        <f t="shared" si="5"/>
        <v>8051.7028243075401</v>
      </c>
    </row>
    <row r="379" spans="1:5" x14ac:dyDescent="0.35">
      <c r="A379" s="2">
        <v>46216</v>
      </c>
      <c r="C379">
        <f t="shared" si="3"/>
        <v>4242.9057218438666</v>
      </c>
      <c r="D379" s="10">
        <f t="shared" si="4"/>
        <v>409.4933870152845</v>
      </c>
      <c r="E379" s="10">
        <f t="shared" si="5"/>
        <v>8076.3180566724486</v>
      </c>
    </row>
    <row r="380" spans="1:5" x14ac:dyDescent="0.35">
      <c r="A380" s="2">
        <v>46217</v>
      </c>
      <c r="C380">
        <f t="shared" si="3"/>
        <v>4243.4423703408647</v>
      </c>
      <c r="D380" s="10">
        <f t="shared" si="4"/>
        <v>385.78477284361861</v>
      </c>
      <c r="E380" s="10">
        <f t="shared" si="5"/>
        <v>8101.0999678381104</v>
      </c>
    </row>
    <row r="381" spans="1:5" x14ac:dyDescent="0.35">
      <c r="A381" s="2">
        <v>46218</v>
      </c>
      <c r="C381">
        <f t="shared" si="3"/>
        <v>4243.979018837862</v>
      </c>
      <c r="D381" s="10">
        <f t="shared" si="4"/>
        <v>361.91052378104678</v>
      </c>
      <c r="E381" s="10">
        <f t="shared" si="5"/>
        <v>8126.0475138946767</v>
      </c>
    </row>
    <row r="382" spans="1:5" x14ac:dyDescent="0.35">
      <c r="A382" s="2">
        <v>46219</v>
      </c>
      <c r="C382">
        <f t="shared" si="3"/>
        <v>4244.5156673348592</v>
      </c>
      <c r="D382" s="10">
        <f t="shared" si="4"/>
        <v>337.87167880237484</v>
      </c>
      <c r="E382" s="10">
        <f t="shared" si="5"/>
        <v>8151.1596558673436</v>
      </c>
    </row>
    <row r="383" spans="1:5" x14ac:dyDescent="0.35">
      <c r="A383" s="2">
        <v>46220</v>
      </c>
      <c r="C383">
        <f t="shared" si="3"/>
        <v>4245.0523158318565</v>
      </c>
      <c r="D383" s="10">
        <f t="shared" si="4"/>
        <v>313.66927166421283</v>
      </c>
      <c r="E383" s="10">
        <f t="shared" si="5"/>
        <v>8176.4353599995002</v>
      </c>
    </row>
    <row r="384" spans="1:5" x14ac:dyDescent="0.35">
      <c r="A384" s="2">
        <v>46221</v>
      </c>
      <c r="C384">
        <f t="shared" si="3"/>
        <v>4245.5889643288547</v>
      </c>
      <c r="D384" s="10">
        <f t="shared" si="4"/>
        <v>289.30433063831151</v>
      </c>
      <c r="E384" s="10">
        <f t="shared" si="5"/>
        <v>8201.8735980193978</v>
      </c>
    </row>
    <row r="385" spans="1:5" x14ac:dyDescent="0.35">
      <c r="A385" s="2">
        <v>46222</v>
      </c>
      <c r="C385">
        <f t="shared" si="3"/>
        <v>4246.1256128258519</v>
      </c>
      <c r="D385" s="10">
        <f t="shared" si="4"/>
        <v>264.77787826084796</v>
      </c>
      <c r="E385" s="10">
        <f t="shared" si="5"/>
        <v>8227.4733473908564</v>
      </c>
    </row>
    <row r="386" spans="1:5" x14ac:dyDescent="0.35">
      <c r="A386" s="2">
        <v>46223</v>
      </c>
      <c r="C386">
        <f t="shared" si="3"/>
        <v>4246.6622613228492</v>
      </c>
      <c r="D386" s="10">
        <f t="shared" si="4"/>
        <v>240.09093109715786</v>
      </c>
      <c r="E386" s="10">
        <f t="shared" si="5"/>
        <v>8253.2335915485401</v>
      </c>
    </row>
    <row r="387" spans="1:5" x14ac:dyDescent="0.35">
      <c r="A387" s="2">
        <v>46224</v>
      </c>
      <c r="C387">
        <f t="shared" si="3"/>
        <v>4247.1989098198464</v>
      </c>
      <c r="D387" s="10">
        <f t="shared" si="4"/>
        <v>215.24449952137184</v>
      </c>
      <c r="E387" s="10">
        <f t="shared" si="5"/>
        <v>8279.1533201183211</v>
      </c>
    </row>
    <row r="388" spans="1:5" x14ac:dyDescent="0.35">
      <c r="A388" s="2">
        <v>46225</v>
      </c>
      <c r="C388">
        <f t="shared" si="3"/>
        <v>4247.7355583168437</v>
      </c>
      <c r="D388" s="10">
        <f t="shared" si="4"/>
        <v>190.23958751044802</v>
      </c>
      <c r="E388" s="10">
        <f t="shared" si="5"/>
        <v>8305.2315291232389</v>
      </c>
    </row>
    <row r="389" spans="1:5" x14ac:dyDescent="0.35">
      <c r="A389" s="2">
        <v>46226</v>
      </c>
      <c r="C389">
        <f t="shared" si="3"/>
        <v>4248.2722068138419</v>
      </c>
      <c r="D389" s="10">
        <f t="shared" si="4"/>
        <v>165.07719245209682</v>
      </c>
      <c r="E389" s="10">
        <f t="shared" si="5"/>
        <v>8331.467221175586</v>
      </c>
    </row>
    <row r="390" spans="1:5" x14ac:dyDescent="0.35">
      <c r="A390" s="2">
        <v>46227</v>
      </c>
      <c r="C390">
        <f t="shared" si="3"/>
        <v>4248.8088553108391</v>
      </c>
      <c r="D390" s="10">
        <f t="shared" si="4"/>
        <v>139.75830496609797</v>
      </c>
      <c r="E390" s="10">
        <f t="shared" si="5"/>
        <v>8357.8594056555812</v>
      </c>
    </row>
    <row r="391" spans="1:5" x14ac:dyDescent="0.35">
      <c r="A391" s="2">
        <v>46228</v>
      </c>
      <c r="C391">
        <f t="shared" si="3"/>
        <v>4249.3455038078364</v>
      </c>
      <c r="D391" s="10">
        <f t="shared" si="4"/>
        <v>114.28390873851276</v>
      </c>
      <c r="E391" s="10">
        <f t="shared" si="5"/>
        <v>8384.40709887716</v>
      </c>
    </row>
    <row r="392" spans="1:5" x14ac:dyDescent="0.35">
      <c r="A392" s="2">
        <v>46229</v>
      </c>
      <c r="C392">
        <f t="shared" ref="C392:C409" si="6">_xlfn.FORECAST.ETS(A392,$B$2:$B$327,$A$2:$A$327,1,1)</f>
        <v>4249.8821523048337</v>
      </c>
      <c r="D392" s="10">
        <f t="shared" ref="D392:D423" si="7">C392-_xlfn.FORECAST.ETS.CONFINT(A392,$B$2:$B$327,$A$2:$A$327,0.95,1,1)</f>
        <v>88.654980368312863</v>
      </c>
      <c r="E392" s="10">
        <f t="shared" ref="E392:E409" si="8">C392+_xlfn.FORECAST.ETS.CONFINT(A392,$B$2:$B$327,$A$2:$A$327,0.95,1,1)</f>
        <v>8411.1093242413554</v>
      </c>
    </row>
    <row r="393" spans="1:5" x14ac:dyDescent="0.35">
      <c r="A393" s="2">
        <v>46230</v>
      </c>
      <c r="C393">
        <f t="shared" si="6"/>
        <v>4250.4188008018309</v>
      </c>
      <c r="D393" s="10">
        <f t="shared" si="7"/>
        <v>62.87248922595063</v>
      </c>
      <c r="E393" s="10">
        <f t="shared" si="8"/>
        <v>8437.9651123777112</v>
      </c>
    </row>
    <row r="394" spans="1:5" x14ac:dyDescent="0.35">
      <c r="A394" s="2">
        <v>46231</v>
      </c>
      <c r="C394">
        <f t="shared" si="6"/>
        <v>4250.9554492988291</v>
      </c>
      <c r="D394" s="10">
        <f t="shared" si="7"/>
        <v>36.937397323398727</v>
      </c>
      <c r="E394" s="10">
        <f t="shared" si="8"/>
        <v>8464.9735012742603</v>
      </c>
    </row>
    <row r="395" spans="1:5" x14ac:dyDescent="0.35">
      <c r="A395" s="2">
        <v>46232</v>
      </c>
      <c r="C395">
        <f t="shared" si="6"/>
        <v>4251.4920977958263</v>
      </c>
      <c r="D395" s="10">
        <f t="shared" si="7"/>
        <v>10.850659195221851</v>
      </c>
      <c r="E395" s="10">
        <f t="shared" si="8"/>
        <v>8492.1335363964317</v>
      </c>
    </row>
    <row r="396" spans="1:5" x14ac:dyDescent="0.35">
      <c r="A396" s="2">
        <v>46233</v>
      </c>
      <c r="C396">
        <f t="shared" si="6"/>
        <v>4252.0287462928236</v>
      </c>
      <c r="D396" s="10">
        <f t="shared" si="7"/>
        <v>-15.386778209785007</v>
      </c>
      <c r="E396" s="10">
        <f t="shared" si="8"/>
        <v>8519.4442707954331</v>
      </c>
    </row>
    <row r="397" spans="1:5" x14ac:dyDescent="0.35">
      <c r="A397" s="2">
        <v>46234</v>
      </c>
      <c r="C397">
        <f t="shared" si="6"/>
        <v>4252.5653947898209</v>
      </c>
      <c r="D397" s="10">
        <f t="shared" si="7"/>
        <v>-41.773975626807442</v>
      </c>
      <c r="E397" s="10">
        <f t="shared" si="8"/>
        <v>8546.9047652064492</v>
      </c>
    </row>
    <row r="398" spans="1:5" x14ac:dyDescent="0.35">
      <c r="A398" s="2">
        <v>46235</v>
      </c>
      <c r="C398">
        <f t="shared" si="6"/>
        <v>4253.102043286819</v>
      </c>
      <c r="D398" s="10">
        <f t="shared" si="7"/>
        <v>-68.310001563511833</v>
      </c>
      <c r="E398" s="10">
        <f t="shared" si="8"/>
        <v>8574.5140881371499</v>
      </c>
    </row>
    <row r="399" spans="1:5" x14ac:dyDescent="0.35">
      <c r="A399" s="2">
        <v>46236</v>
      </c>
      <c r="C399">
        <f t="shared" si="6"/>
        <v>4253.6386917838163</v>
      </c>
      <c r="D399" s="10">
        <f t="shared" si="7"/>
        <v>-94.993932379240505</v>
      </c>
      <c r="E399" s="10">
        <f t="shared" si="8"/>
        <v>8602.2713159468731</v>
      </c>
    </row>
    <row r="400" spans="1:5" x14ac:dyDescent="0.35">
      <c r="A400" s="2">
        <v>46237</v>
      </c>
      <c r="C400">
        <f t="shared" si="6"/>
        <v>4254.1753402808135</v>
      </c>
      <c r="D400" s="10">
        <f t="shared" si="7"/>
        <v>-121.82485235529202</v>
      </c>
      <c r="E400" s="10">
        <f t="shared" si="8"/>
        <v>8630.1755329169191</v>
      </c>
    </row>
    <row r="401" spans="1:5" x14ac:dyDescent="0.35">
      <c r="A401" s="2">
        <v>46238</v>
      </c>
      <c r="C401">
        <f t="shared" si="6"/>
        <v>4254.7119887778108</v>
      </c>
      <c r="D401" s="10">
        <f t="shared" si="7"/>
        <v>-148.80185375670226</v>
      </c>
      <c r="E401" s="10">
        <f t="shared" si="8"/>
        <v>8658.2258313123239</v>
      </c>
    </row>
    <row r="402" spans="1:5" x14ac:dyDescent="0.35">
      <c r="A402" s="2">
        <v>46239</v>
      </c>
      <c r="C402">
        <f t="shared" si="6"/>
        <v>4255.2486372748081</v>
      </c>
      <c r="D402" s="10">
        <f t="shared" si="7"/>
        <v>-175.92403688589275</v>
      </c>
      <c r="E402" s="10">
        <f t="shared" si="8"/>
        <v>8686.421311435508</v>
      </c>
    </row>
    <row r="403" spans="1:5" x14ac:dyDescent="0.35">
      <c r="A403" s="2">
        <v>46240</v>
      </c>
      <c r="C403">
        <f t="shared" si="6"/>
        <v>4255.7852857718062</v>
      </c>
      <c r="D403" s="10">
        <f t="shared" si="7"/>
        <v>-203.19051012854652</v>
      </c>
      <c r="E403" s="10">
        <f t="shared" si="8"/>
        <v>8714.761081672159</v>
      </c>
    </row>
    <row r="404" spans="1:5" x14ac:dyDescent="0.35">
      <c r="A404" s="2">
        <v>46241</v>
      </c>
      <c r="C404">
        <f t="shared" si="6"/>
        <v>4256.3219342688035</v>
      </c>
      <c r="D404" s="10">
        <f t="shared" si="7"/>
        <v>-230.60038999209337</v>
      </c>
      <c r="E404" s="10">
        <f t="shared" si="8"/>
        <v>8743.2442585296994</v>
      </c>
    </row>
    <row r="405" spans="1:5" x14ac:dyDescent="0.35">
      <c r="A405" s="2">
        <v>46242</v>
      </c>
      <c r="C405">
        <f t="shared" si="6"/>
        <v>4256.8585827658007</v>
      </c>
      <c r="D405" s="10">
        <f t="shared" si="7"/>
        <v>-258.15280113713288</v>
      </c>
      <c r="E405" s="10">
        <f t="shared" si="8"/>
        <v>8771.8699666687353</v>
      </c>
    </row>
    <row r="406" spans="1:5" x14ac:dyDescent="0.35">
      <c r="A406" s="2">
        <v>46243</v>
      </c>
      <c r="C406">
        <f t="shared" si="6"/>
        <v>4257.395231262798</v>
      </c>
      <c r="D406" s="10">
        <f t="shared" si="7"/>
        <v>-285.84687640213087</v>
      </c>
      <c r="E406" s="10">
        <f t="shared" si="8"/>
        <v>8800.6373389277269</v>
      </c>
    </row>
    <row r="407" spans="1:5" x14ac:dyDescent="0.35">
      <c r="A407" s="2">
        <v>46244</v>
      </c>
      <c r="C407">
        <f t="shared" si="6"/>
        <v>4257.9318797597962</v>
      </c>
      <c r="D407" s="10">
        <f t="shared" si="7"/>
        <v>-313.68175682174024</v>
      </c>
      <c r="E407" s="10">
        <f t="shared" si="8"/>
        <v>8829.5455163413317</v>
      </c>
    </row>
    <row r="408" spans="1:5" x14ac:dyDescent="0.35">
      <c r="A408" s="2">
        <v>46245</v>
      </c>
      <c r="C408">
        <f t="shared" si="6"/>
        <v>4258.4685282567934</v>
      </c>
      <c r="D408" s="10">
        <f t="shared" si="7"/>
        <v>-341.65659163902819</v>
      </c>
      <c r="E408" s="10">
        <f t="shared" si="8"/>
        <v>8858.5936481526151</v>
      </c>
    </row>
    <row r="409" spans="1:5" x14ac:dyDescent="0.35">
      <c r="A409" s="2">
        <v>46246</v>
      </c>
      <c r="C409">
        <f t="shared" si="6"/>
        <v>4259.0051767537907</v>
      </c>
      <c r="D409" s="10">
        <f t="shared" si="7"/>
        <v>-369.77053831193462</v>
      </c>
      <c r="E409" s="10">
        <f t="shared" si="8"/>
        <v>8887.7808918195151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3448-A82F-4B6D-9E61-A95FDEAC7FC0}">
  <dimension ref="A1:D551"/>
  <sheetViews>
    <sheetView topLeftCell="A317" workbookViewId="0">
      <selection activeCell="A328" sqref="A328:XFD328"/>
    </sheetView>
  </sheetViews>
  <sheetFormatPr defaultRowHeight="14.5" x14ac:dyDescent="0.35"/>
  <cols>
    <col min="1" max="1" width="10.36328125" bestFit="1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A2" s="2">
        <v>45839</v>
      </c>
      <c r="B2">
        <v>960</v>
      </c>
      <c r="D2" s="3"/>
    </row>
    <row r="3" spans="1:4" x14ac:dyDescent="0.35">
      <c r="A3" s="2">
        <v>45840</v>
      </c>
      <c r="B3">
        <v>3872</v>
      </c>
    </row>
    <row r="4" spans="1:4" x14ac:dyDescent="0.35">
      <c r="A4" s="2">
        <v>45841</v>
      </c>
      <c r="B4">
        <v>3192</v>
      </c>
    </row>
    <row r="5" spans="1:4" x14ac:dyDescent="0.35">
      <c r="A5" s="2">
        <v>45842</v>
      </c>
      <c r="B5">
        <v>566</v>
      </c>
      <c r="D5" s="3"/>
    </row>
    <row r="6" spans="1:4" x14ac:dyDescent="0.35">
      <c r="A6" s="2">
        <v>45843</v>
      </c>
      <c r="B6">
        <v>4526</v>
      </c>
    </row>
    <row r="7" spans="1:4" x14ac:dyDescent="0.35">
      <c r="A7" s="2">
        <v>45844</v>
      </c>
      <c r="B7">
        <v>3544</v>
      </c>
    </row>
    <row r="8" spans="1:4" x14ac:dyDescent="0.35">
      <c r="A8" s="2">
        <v>45845</v>
      </c>
      <c r="B8">
        <v>3271</v>
      </c>
      <c r="D8" s="3"/>
    </row>
    <row r="9" spans="1:4" x14ac:dyDescent="0.35">
      <c r="A9" s="2">
        <v>45846</v>
      </c>
      <c r="B9">
        <v>3019</v>
      </c>
    </row>
    <row r="10" spans="1:4" x14ac:dyDescent="0.35">
      <c r="A10" s="2">
        <v>45847</v>
      </c>
      <c r="B10">
        <v>230</v>
      </c>
    </row>
    <row r="11" spans="1:4" x14ac:dyDescent="0.35">
      <c r="A11" s="2">
        <v>45848</v>
      </c>
      <c r="B11">
        <v>1785</v>
      </c>
      <c r="D11" s="3"/>
    </row>
    <row r="12" spans="1:4" x14ac:dyDescent="0.35">
      <c r="A12" s="2">
        <v>45849</v>
      </c>
      <c r="B12">
        <v>869</v>
      </c>
    </row>
    <row r="13" spans="1:4" x14ac:dyDescent="0.35">
      <c r="A13" s="2">
        <v>45850</v>
      </c>
      <c r="B13">
        <v>2491</v>
      </c>
    </row>
    <row r="14" spans="1:4" x14ac:dyDescent="0.35">
      <c r="A14" s="2">
        <v>45851</v>
      </c>
      <c r="B14">
        <v>2533</v>
      </c>
      <c r="D14" s="3"/>
    </row>
    <row r="15" spans="1:4" x14ac:dyDescent="0.35">
      <c r="A15" s="2">
        <v>45852</v>
      </c>
      <c r="B15">
        <v>1284</v>
      </c>
    </row>
    <row r="16" spans="1:4" x14ac:dyDescent="0.35">
      <c r="A16" s="2">
        <v>45853</v>
      </c>
      <c r="B16">
        <v>4655</v>
      </c>
    </row>
    <row r="17" spans="1:4" x14ac:dyDescent="0.35">
      <c r="A17" s="2">
        <v>45854</v>
      </c>
      <c r="B17">
        <v>3485</v>
      </c>
      <c r="D17" s="3"/>
    </row>
    <row r="18" spans="1:4" x14ac:dyDescent="0.35">
      <c r="A18" s="2">
        <v>45855</v>
      </c>
      <c r="B18">
        <v>4217</v>
      </c>
    </row>
    <row r="19" spans="1:4" x14ac:dyDescent="0.35">
      <c r="A19" s="2">
        <v>45856</v>
      </c>
      <c r="B19">
        <v>4943</v>
      </c>
    </row>
    <row r="20" spans="1:4" x14ac:dyDescent="0.35">
      <c r="A20" s="2">
        <v>45857</v>
      </c>
      <c r="B20">
        <v>3004</v>
      </c>
      <c r="D20" s="3"/>
    </row>
    <row r="21" spans="1:4" x14ac:dyDescent="0.35">
      <c r="A21" s="2">
        <v>45858</v>
      </c>
      <c r="B21">
        <v>574</v>
      </c>
    </row>
    <row r="22" spans="1:4" x14ac:dyDescent="0.35">
      <c r="A22" s="2">
        <v>45859</v>
      </c>
      <c r="B22">
        <v>1182</v>
      </c>
    </row>
    <row r="23" spans="1:4" x14ac:dyDescent="0.35">
      <c r="A23" s="2">
        <v>45860</v>
      </c>
      <c r="B23">
        <v>2658</v>
      </c>
      <c r="D23" s="3"/>
    </row>
    <row r="24" spans="1:4" x14ac:dyDescent="0.35">
      <c r="A24" s="2">
        <v>45861</v>
      </c>
      <c r="B24">
        <v>2147</v>
      </c>
    </row>
    <row r="25" spans="1:4" x14ac:dyDescent="0.35">
      <c r="A25" s="2">
        <v>45862</v>
      </c>
      <c r="B25">
        <v>2847</v>
      </c>
    </row>
    <row r="26" spans="1:4" x14ac:dyDescent="0.35">
      <c r="A26" s="2">
        <v>45863</v>
      </c>
      <c r="B26">
        <v>1075</v>
      </c>
    </row>
    <row r="27" spans="1:4" x14ac:dyDescent="0.35">
      <c r="A27" s="2">
        <v>45864</v>
      </c>
      <c r="B27">
        <v>1906</v>
      </c>
    </row>
    <row r="28" spans="1:4" x14ac:dyDescent="0.35">
      <c r="A28" s="2">
        <v>45865</v>
      </c>
      <c r="B28">
        <v>289</v>
      </c>
    </row>
    <row r="29" spans="1:4" x14ac:dyDescent="0.35">
      <c r="A29" s="2">
        <v>45866</v>
      </c>
      <c r="B29">
        <v>2834</v>
      </c>
    </row>
    <row r="30" spans="1:4" x14ac:dyDescent="0.35">
      <c r="A30" s="2">
        <v>45867</v>
      </c>
      <c r="B30">
        <v>3105</v>
      </c>
    </row>
    <row r="31" spans="1:4" x14ac:dyDescent="0.35">
      <c r="A31" s="2">
        <v>45868</v>
      </c>
      <c r="B31">
        <v>4758</v>
      </c>
    </row>
    <row r="32" spans="1:4" x14ac:dyDescent="0.35">
      <c r="A32" s="2">
        <v>45869</v>
      </c>
      <c r="B32">
        <v>1999</v>
      </c>
    </row>
    <row r="33" spans="1:2" x14ac:dyDescent="0.35">
      <c r="A33" s="2">
        <v>45870</v>
      </c>
      <c r="B33">
        <v>1367</v>
      </c>
    </row>
    <row r="34" spans="1:2" x14ac:dyDescent="0.35">
      <c r="A34" s="2">
        <v>45871</v>
      </c>
      <c r="B34">
        <v>1628</v>
      </c>
    </row>
    <row r="35" spans="1:2" x14ac:dyDescent="0.35">
      <c r="A35" s="2">
        <v>45872</v>
      </c>
      <c r="B35">
        <v>3302</v>
      </c>
    </row>
    <row r="36" spans="1:2" x14ac:dyDescent="0.35">
      <c r="A36" s="2">
        <v>45873</v>
      </c>
      <c r="B36">
        <v>3656</v>
      </c>
    </row>
    <row r="37" spans="1:2" x14ac:dyDescent="0.35">
      <c r="A37" s="2">
        <v>45874</v>
      </c>
      <c r="B37">
        <v>3990</v>
      </c>
    </row>
    <row r="38" spans="1:2" x14ac:dyDescent="0.35">
      <c r="A38" s="2">
        <v>45875</v>
      </c>
      <c r="B38">
        <v>746</v>
      </c>
    </row>
    <row r="39" spans="1:2" x14ac:dyDescent="0.35">
      <c r="A39" s="2">
        <v>45876</v>
      </c>
      <c r="B39">
        <v>2988</v>
      </c>
    </row>
    <row r="40" spans="1:2" x14ac:dyDescent="0.35">
      <c r="A40" s="2">
        <v>45877</v>
      </c>
      <c r="B40">
        <v>2535</v>
      </c>
    </row>
    <row r="41" spans="1:2" x14ac:dyDescent="0.35">
      <c r="A41" s="2">
        <v>45878</v>
      </c>
      <c r="B41">
        <v>700</v>
      </c>
    </row>
    <row r="42" spans="1:2" x14ac:dyDescent="0.35">
      <c r="A42" s="2">
        <v>45879</v>
      </c>
      <c r="B42">
        <v>2463</v>
      </c>
    </row>
    <row r="43" spans="1:2" x14ac:dyDescent="0.35">
      <c r="A43" s="2">
        <v>45880</v>
      </c>
      <c r="B43">
        <v>2161</v>
      </c>
    </row>
    <row r="44" spans="1:2" x14ac:dyDescent="0.35">
      <c r="A44" s="2">
        <v>45881</v>
      </c>
      <c r="B44">
        <v>341</v>
      </c>
    </row>
    <row r="45" spans="1:2" x14ac:dyDescent="0.35">
      <c r="A45" s="2">
        <v>45882</v>
      </c>
      <c r="B45">
        <v>2141</v>
      </c>
    </row>
    <row r="46" spans="1:2" x14ac:dyDescent="0.35">
      <c r="A46" s="2">
        <v>45883</v>
      </c>
      <c r="B46">
        <v>2924</v>
      </c>
    </row>
    <row r="47" spans="1:2" x14ac:dyDescent="0.35">
      <c r="A47" s="2">
        <v>45884</v>
      </c>
      <c r="B47">
        <v>2712</v>
      </c>
    </row>
    <row r="48" spans="1:2" x14ac:dyDescent="0.35">
      <c r="A48" s="2">
        <v>45885</v>
      </c>
      <c r="B48">
        <v>1463</v>
      </c>
    </row>
    <row r="49" spans="1:2" x14ac:dyDescent="0.35">
      <c r="A49" s="2">
        <v>45886</v>
      </c>
      <c r="B49">
        <v>1578</v>
      </c>
    </row>
    <row r="50" spans="1:2" x14ac:dyDescent="0.35">
      <c r="A50" s="2">
        <v>45887</v>
      </c>
      <c r="B50">
        <v>2656</v>
      </c>
    </row>
    <row r="51" spans="1:2" x14ac:dyDescent="0.35">
      <c r="A51" s="2">
        <v>45888</v>
      </c>
      <c r="B51">
        <v>875</v>
      </c>
    </row>
    <row r="52" spans="1:2" x14ac:dyDescent="0.35">
      <c r="A52" s="2">
        <v>45889</v>
      </c>
      <c r="B52">
        <v>4114</v>
      </c>
    </row>
    <row r="53" spans="1:2" x14ac:dyDescent="0.35">
      <c r="A53" s="2">
        <v>45890</v>
      </c>
      <c r="B53">
        <v>134</v>
      </c>
    </row>
    <row r="54" spans="1:2" x14ac:dyDescent="0.35">
      <c r="A54" s="2">
        <v>45891</v>
      </c>
      <c r="B54">
        <v>3252</v>
      </c>
    </row>
    <row r="55" spans="1:2" x14ac:dyDescent="0.35">
      <c r="A55" s="2">
        <v>45892</v>
      </c>
      <c r="B55">
        <v>2055</v>
      </c>
    </row>
    <row r="56" spans="1:2" x14ac:dyDescent="0.35">
      <c r="A56" s="2">
        <v>45893</v>
      </c>
      <c r="B56">
        <v>1685</v>
      </c>
    </row>
    <row r="57" spans="1:2" x14ac:dyDescent="0.35">
      <c r="A57" s="2">
        <v>45894</v>
      </c>
      <c r="B57">
        <v>4043</v>
      </c>
    </row>
    <row r="58" spans="1:2" x14ac:dyDescent="0.35">
      <c r="A58" s="2">
        <v>45895</v>
      </c>
      <c r="B58">
        <v>3173</v>
      </c>
    </row>
    <row r="59" spans="1:2" x14ac:dyDescent="0.35">
      <c r="A59" s="2">
        <v>45896</v>
      </c>
      <c r="B59">
        <v>1121</v>
      </c>
    </row>
    <row r="60" spans="1:2" x14ac:dyDescent="0.35">
      <c r="A60" s="2">
        <v>45897</v>
      </c>
      <c r="B60">
        <v>3561</v>
      </c>
    </row>
    <row r="61" spans="1:2" x14ac:dyDescent="0.35">
      <c r="A61" s="2">
        <v>45898</v>
      </c>
      <c r="B61">
        <v>2713</v>
      </c>
    </row>
    <row r="62" spans="1:2" x14ac:dyDescent="0.35">
      <c r="A62" s="2">
        <v>45899</v>
      </c>
      <c r="B62">
        <v>3943</v>
      </c>
    </row>
    <row r="63" spans="1:2" x14ac:dyDescent="0.35">
      <c r="A63" s="2">
        <v>45900</v>
      </c>
      <c r="B63">
        <v>1600</v>
      </c>
    </row>
    <row r="64" spans="1:2" x14ac:dyDescent="0.35">
      <c r="A64" s="2">
        <v>45901</v>
      </c>
      <c r="B64">
        <v>4898</v>
      </c>
    </row>
    <row r="65" spans="1:2" x14ac:dyDescent="0.35">
      <c r="A65" s="2">
        <v>45902</v>
      </c>
      <c r="B65">
        <v>261</v>
      </c>
    </row>
    <row r="66" spans="1:2" x14ac:dyDescent="0.35">
      <c r="A66" s="2">
        <v>45903</v>
      </c>
      <c r="B66">
        <v>4397</v>
      </c>
    </row>
    <row r="67" spans="1:2" x14ac:dyDescent="0.35">
      <c r="A67" s="2">
        <v>45904</v>
      </c>
      <c r="B67">
        <v>2081</v>
      </c>
    </row>
    <row r="68" spans="1:2" x14ac:dyDescent="0.35">
      <c r="A68" s="2">
        <v>45905</v>
      </c>
      <c r="B68">
        <v>1095</v>
      </c>
    </row>
    <row r="69" spans="1:2" x14ac:dyDescent="0.35">
      <c r="A69" s="2">
        <v>45906</v>
      </c>
      <c r="B69">
        <v>3442</v>
      </c>
    </row>
    <row r="70" spans="1:2" x14ac:dyDescent="0.35">
      <c r="A70" s="2">
        <v>45907</v>
      </c>
      <c r="B70">
        <v>4651</v>
      </c>
    </row>
    <row r="71" spans="1:2" x14ac:dyDescent="0.35">
      <c r="A71" s="2">
        <v>45908</v>
      </c>
      <c r="B71">
        <v>3898</v>
      </c>
    </row>
    <row r="72" spans="1:2" x14ac:dyDescent="0.35">
      <c r="A72" s="2">
        <v>45909</v>
      </c>
      <c r="B72">
        <v>1375</v>
      </c>
    </row>
    <row r="73" spans="1:2" x14ac:dyDescent="0.35">
      <c r="A73" s="2">
        <v>45910</v>
      </c>
      <c r="B73">
        <v>1116</v>
      </c>
    </row>
    <row r="74" spans="1:2" x14ac:dyDescent="0.35">
      <c r="A74" s="2">
        <v>45911</v>
      </c>
      <c r="B74">
        <v>437</v>
      </c>
    </row>
    <row r="75" spans="1:2" x14ac:dyDescent="0.35">
      <c r="A75" s="2">
        <v>45912</v>
      </c>
      <c r="B75">
        <v>978</v>
      </c>
    </row>
    <row r="76" spans="1:2" x14ac:dyDescent="0.35">
      <c r="A76" s="2">
        <v>45913</v>
      </c>
      <c r="B76">
        <v>1176</v>
      </c>
    </row>
    <row r="77" spans="1:2" x14ac:dyDescent="0.35">
      <c r="A77" s="2">
        <v>45914</v>
      </c>
      <c r="B77">
        <v>4987</v>
      </c>
    </row>
    <row r="78" spans="1:2" x14ac:dyDescent="0.35">
      <c r="A78" s="2">
        <v>45915</v>
      </c>
      <c r="B78">
        <v>4093</v>
      </c>
    </row>
    <row r="79" spans="1:2" x14ac:dyDescent="0.35">
      <c r="A79" s="2">
        <v>45916</v>
      </c>
      <c r="B79">
        <v>4959</v>
      </c>
    </row>
    <row r="80" spans="1:2" x14ac:dyDescent="0.35">
      <c r="A80" s="2">
        <v>45917</v>
      </c>
      <c r="B80">
        <v>479</v>
      </c>
    </row>
    <row r="81" spans="1:2" x14ac:dyDescent="0.35">
      <c r="A81" s="2">
        <v>45918</v>
      </c>
      <c r="B81">
        <v>592</v>
      </c>
    </row>
    <row r="82" spans="1:2" x14ac:dyDescent="0.35">
      <c r="A82" s="2">
        <v>45919</v>
      </c>
      <c r="B82">
        <v>2162</v>
      </c>
    </row>
    <row r="83" spans="1:2" x14ac:dyDescent="0.35">
      <c r="A83" s="2">
        <v>45920</v>
      </c>
      <c r="B83">
        <v>3984</v>
      </c>
    </row>
    <row r="84" spans="1:2" x14ac:dyDescent="0.35">
      <c r="A84" s="2">
        <v>45921</v>
      </c>
      <c r="B84">
        <v>164</v>
      </c>
    </row>
    <row r="85" spans="1:2" x14ac:dyDescent="0.35">
      <c r="A85" s="2">
        <v>45922</v>
      </c>
      <c r="B85">
        <v>2668</v>
      </c>
    </row>
    <row r="86" spans="1:2" x14ac:dyDescent="0.35">
      <c r="A86" s="2">
        <v>45923</v>
      </c>
      <c r="B86">
        <v>2127</v>
      </c>
    </row>
    <row r="87" spans="1:2" x14ac:dyDescent="0.35">
      <c r="A87" s="2">
        <v>45924</v>
      </c>
      <c r="B87">
        <v>2795</v>
      </c>
    </row>
    <row r="88" spans="1:2" x14ac:dyDescent="0.35">
      <c r="A88" s="2">
        <v>45925</v>
      </c>
      <c r="B88">
        <v>1595</v>
      </c>
    </row>
    <row r="89" spans="1:2" x14ac:dyDescent="0.35">
      <c r="A89" s="2">
        <v>45926</v>
      </c>
      <c r="B89">
        <v>491</v>
      </c>
    </row>
    <row r="90" spans="1:2" x14ac:dyDescent="0.35">
      <c r="A90" s="2">
        <v>45927</v>
      </c>
      <c r="B90">
        <v>4614</v>
      </c>
    </row>
    <row r="91" spans="1:2" x14ac:dyDescent="0.35">
      <c r="A91" s="2">
        <v>45928</v>
      </c>
      <c r="B91">
        <v>4574</v>
      </c>
    </row>
    <row r="92" spans="1:2" x14ac:dyDescent="0.35">
      <c r="A92" s="2">
        <v>45929</v>
      </c>
      <c r="B92">
        <v>3661</v>
      </c>
    </row>
    <row r="93" spans="1:2" x14ac:dyDescent="0.35">
      <c r="A93" s="2">
        <v>45930</v>
      </c>
      <c r="B93">
        <v>2378</v>
      </c>
    </row>
    <row r="94" spans="1:2" x14ac:dyDescent="0.35">
      <c r="A94" s="2">
        <v>45931</v>
      </c>
      <c r="B94">
        <v>3199</v>
      </c>
    </row>
    <row r="95" spans="1:2" x14ac:dyDescent="0.35">
      <c r="A95" s="2">
        <v>45932</v>
      </c>
      <c r="B95">
        <v>300</v>
      </c>
    </row>
    <row r="96" spans="1:2" x14ac:dyDescent="0.35">
      <c r="A96" s="2">
        <v>45933</v>
      </c>
      <c r="B96">
        <v>4975</v>
      </c>
    </row>
    <row r="97" spans="1:2" x14ac:dyDescent="0.35">
      <c r="A97" s="2">
        <v>45934</v>
      </c>
      <c r="B97">
        <v>3204</v>
      </c>
    </row>
    <row r="98" spans="1:2" x14ac:dyDescent="0.35">
      <c r="A98" s="2">
        <v>45935</v>
      </c>
      <c r="B98">
        <v>4698</v>
      </c>
    </row>
    <row r="99" spans="1:2" x14ac:dyDescent="0.35">
      <c r="A99" s="2">
        <v>45936</v>
      </c>
      <c r="B99">
        <v>2554</v>
      </c>
    </row>
    <row r="100" spans="1:2" x14ac:dyDescent="0.35">
      <c r="A100" s="2">
        <v>45937</v>
      </c>
      <c r="B100">
        <v>3745</v>
      </c>
    </row>
    <row r="101" spans="1:2" x14ac:dyDescent="0.35">
      <c r="A101" s="2">
        <v>45938</v>
      </c>
      <c r="B101">
        <v>904</v>
      </c>
    </row>
    <row r="102" spans="1:2" x14ac:dyDescent="0.35">
      <c r="A102" s="2">
        <v>45939</v>
      </c>
      <c r="B102">
        <v>2831</v>
      </c>
    </row>
    <row r="103" spans="1:2" x14ac:dyDescent="0.35">
      <c r="A103" s="2">
        <v>45940</v>
      </c>
      <c r="B103">
        <v>2873</v>
      </c>
    </row>
    <row r="104" spans="1:2" x14ac:dyDescent="0.35">
      <c r="A104" s="2">
        <v>45941</v>
      </c>
      <c r="B104">
        <v>1670</v>
      </c>
    </row>
    <row r="105" spans="1:2" x14ac:dyDescent="0.35">
      <c r="A105" s="2">
        <v>45942</v>
      </c>
      <c r="B105">
        <v>2790</v>
      </c>
    </row>
    <row r="106" spans="1:2" x14ac:dyDescent="0.35">
      <c r="A106" s="2">
        <v>45943</v>
      </c>
      <c r="B106">
        <v>3940</v>
      </c>
    </row>
    <row r="107" spans="1:2" x14ac:dyDescent="0.35">
      <c r="A107" s="2">
        <v>45944</v>
      </c>
      <c r="B107">
        <v>1128</v>
      </c>
    </row>
    <row r="108" spans="1:2" x14ac:dyDescent="0.35">
      <c r="A108" s="2">
        <v>45945</v>
      </c>
      <c r="B108">
        <v>602</v>
      </c>
    </row>
    <row r="109" spans="1:2" x14ac:dyDescent="0.35">
      <c r="A109" s="2">
        <v>45946</v>
      </c>
      <c r="B109">
        <v>4593</v>
      </c>
    </row>
    <row r="110" spans="1:2" x14ac:dyDescent="0.35">
      <c r="A110" s="2">
        <v>45947</v>
      </c>
      <c r="B110">
        <v>970</v>
      </c>
    </row>
    <row r="111" spans="1:2" x14ac:dyDescent="0.35">
      <c r="A111" s="2">
        <v>45948</v>
      </c>
      <c r="B111">
        <v>4588</v>
      </c>
    </row>
    <row r="112" spans="1:2" x14ac:dyDescent="0.35">
      <c r="A112" s="2">
        <v>45949</v>
      </c>
      <c r="B112">
        <v>306</v>
      </c>
    </row>
    <row r="113" spans="1:2" x14ac:dyDescent="0.35">
      <c r="A113" s="2">
        <v>45950</v>
      </c>
      <c r="B113">
        <v>1584</v>
      </c>
    </row>
    <row r="114" spans="1:2" x14ac:dyDescent="0.35">
      <c r="A114" s="2">
        <v>45951</v>
      </c>
      <c r="B114">
        <v>963</v>
      </c>
    </row>
    <row r="115" spans="1:2" x14ac:dyDescent="0.35">
      <c r="A115" s="2">
        <v>45952</v>
      </c>
      <c r="B115">
        <v>2890</v>
      </c>
    </row>
    <row r="116" spans="1:2" x14ac:dyDescent="0.35">
      <c r="A116" s="2">
        <v>45953</v>
      </c>
      <c r="B116">
        <v>663</v>
      </c>
    </row>
    <row r="117" spans="1:2" x14ac:dyDescent="0.35">
      <c r="A117" s="2">
        <v>45954</v>
      </c>
      <c r="B117">
        <v>4291</v>
      </c>
    </row>
    <row r="118" spans="1:2" x14ac:dyDescent="0.35">
      <c r="A118" s="2">
        <v>45955</v>
      </c>
      <c r="B118">
        <v>1857</v>
      </c>
    </row>
    <row r="119" spans="1:2" x14ac:dyDescent="0.35">
      <c r="A119" s="2">
        <v>45956</v>
      </c>
      <c r="B119">
        <v>1778</v>
      </c>
    </row>
    <row r="120" spans="1:2" x14ac:dyDescent="0.35">
      <c r="A120" s="2">
        <v>45957</v>
      </c>
      <c r="B120">
        <v>3342</v>
      </c>
    </row>
    <row r="121" spans="1:2" x14ac:dyDescent="0.35">
      <c r="A121" s="2">
        <v>45958</v>
      </c>
      <c r="B121">
        <v>4736</v>
      </c>
    </row>
    <row r="122" spans="1:2" x14ac:dyDescent="0.35">
      <c r="A122" s="2">
        <v>45959</v>
      </c>
      <c r="B122">
        <v>1159</v>
      </c>
    </row>
    <row r="123" spans="1:2" x14ac:dyDescent="0.35">
      <c r="A123" s="2">
        <v>45960</v>
      </c>
      <c r="B123">
        <v>1822</v>
      </c>
    </row>
    <row r="124" spans="1:2" x14ac:dyDescent="0.35">
      <c r="A124" s="2">
        <v>45961</v>
      </c>
      <c r="B124">
        <v>3414</v>
      </c>
    </row>
    <row r="125" spans="1:2" x14ac:dyDescent="0.35">
      <c r="A125" s="2">
        <v>45962</v>
      </c>
      <c r="B125">
        <v>3257</v>
      </c>
    </row>
    <row r="126" spans="1:2" x14ac:dyDescent="0.35">
      <c r="A126" s="2">
        <v>45963</v>
      </c>
      <c r="B126">
        <v>2725</v>
      </c>
    </row>
    <row r="127" spans="1:2" x14ac:dyDescent="0.35">
      <c r="A127" s="2">
        <v>45964</v>
      </c>
      <c r="B127">
        <v>2829</v>
      </c>
    </row>
    <row r="128" spans="1:2" x14ac:dyDescent="0.35">
      <c r="A128" s="2">
        <v>45965</v>
      </c>
      <c r="B128">
        <v>1697</v>
      </c>
    </row>
    <row r="129" spans="1:2" x14ac:dyDescent="0.35">
      <c r="A129" s="2">
        <v>45966</v>
      </c>
      <c r="B129">
        <v>3160</v>
      </c>
    </row>
    <row r="130" spans="1:2" x14ac:dyDescent="0.35">
      <c r="A130" s="2">
        <v>45967</v>
      </c>
      <c r="B130">
        <v>2793</v>
      </c>
    </row>
    <row r="131" spans="1:2" x14ac:dyDescent="0.35">
      <c r="A131" s="2">
        <v>45968</v>
      </c>
      <c r="B131">
        <v>4991</v>
      </c>
    </row>
    <row r="132" spans="1:2" x14ac:dyDescent="0.35">
      <c r="A132" s="2">
        <v>45969</v>
      </c>
      <c r="B132">
        <v>3727</v>
      </c>
    </row>
    <row r="133" spans="1:2" x14ac:dyDescent="0.35">
      <c r="A133" s="2">
        <v>45970</v>
      </c>
      <c r="B133">
        <v>1463</v>
      </c>
    </row>
    <row r="134" spans="1:2" x14ac:dyDescent="0.35">
      <c r="A134" s="2">
        <v>45971</v>
      </c>
      <c r="B134">
        <v>2081</v>
      </c>
    </row>
    <row r="135" spans="1:2" x14ac:dyDescent="0.35">
      <c r="A135" s="2">
        <v>45972</v>
      </c>
      <c r="B135">
        <v>1763</v>
      </c>
    </row>
    <row r="136" spans="1:2" x14ac:dyDescent="0.35">
      <c r="A136" s="2">
        <v>45973</v>
      </c>
      <c r="B136">
        <v>1629</v>
      </c>
    </row>
    <row r="137" spans="1:2" x14ac:dyDescent="0.35">
      <c r="A137" s="2">
        <v>45974</v>
      </c>
      <c r="B137">
        <v>2138</v>
      </c>
    </row>
    <row r="138" spans="1:2" x14ac:dyDescent="0.35">
      <c r="A138" s="2">
        <v>45975</v>
      </c>
      <c r="B138">
        <v>3402</v>
      </c>
    </row>
    <row r="139" spans="1:2" x14ac:dyDescent="0.35">
      <c r="A139" s="2">
        <v>45976</v>
      </c>
      <c r="B139">
        <v>2337</v>
      </c>
    </row>
    <row r="140" spans="1:2" x14ac:dyDescent="0.35">
      <c r="A140" s="2">
        <v>45977</v>
      </c>
      <c r="B140">
        <v>1406</v>
      </c>
    </row>
    <row r="141" spans="1:2" x14ac:dyDescent="0.35">
      <c r="A141" s="2">
        <v>45978</v>
      </c>
      <c r="B141">
        <v>4129</v>
      </c>
    </row>
    <row r="142" spans="1:2" x14ac:dyDescent="0.35">
      <c r="A142" s="2">
        <v>45979</v>
      </c>
      <c r="B142">
        <v>2775</v>
      </c>
    </row>
    <row r="143" spans="1:2" x14ac:dyDescent="0.35">
      <c r="A143" s="2">
        <v>45980</v>
      </c>
      <c r="B143">
        <v>1382</v>
      </c>
    </row>
    <row r="144" spans="1:2" x14ac:dyDescent="0.35">
      <c r="A144" s="2">
        <v>45981</v>
      </c>
      <c r="B144">
        <v>809</v>
      </c>
    </row>
    <row r="145" spans="1:2" x14ac:dyDescent="0.35">
      <c r="A145" s="2">
        <v>45982</v>
      </c>
      <c r="B145">
        <v>4844</v>
      </c>
    </row>
    <row r="146" spans="1:2" x14ac:dyDescent="0.35">
      <c r="A146" s="2">
        <v>45983</v>
      </c>
      <c r="B146">
        <v>4513</v>
      </c>
    </row>
    <row r="147" spans="1:2" x14ac:dyDescent="0.35">
      <c r="A147" s="2">
        <v>45984</v>
      </c>
      <c r="B147">
        <v>3848</v>
      </c>
    </row>
    <row r="148" spans="1:2" x14ac:dyDescent="0.35">
      <c r="A148" s="2">
        <v>45985</v>
      </c>
      <c r="B148">
        <v>4879</v>
      </c>
    </row>
    <row r="149" spans="1:2" x14ac:dyDescent="0.35">
      <c r="A149" s="2">
        <v>45986</v>
      </c>
      <c r="B149">
        <v>763</v>
      </c>
    </row>
    <row r="150" spans="1:2" x14ac:dyDescent="0.35">
      <c r="A150" s="2">
        <v>45987</v>
      </c>
      <c r="B150">
        <v>2098</v>
      </c>
    </row>
    <row r="151" spans="1:2" x14ac:dyDescent="0.35">
      <c r="A151" s="2">
        <v>45988</v>
      </c>
      <c r="B151">
        <v>3545</v>
      </c>
    </row>
    <row r="152" spans="1:2" x14ac:dyDescent="0.35">
      <c r="A152" s="2">
        <v>45989</v>
      </c>
      <c r="B152">
        <v>3843</v>
      </c>
    </row>
    <row r="153" spans="1:2" x14ac:dyDescent="0.35">
      <c r="A153" s="2">
        <v>45990</v>
      </c>
      <c r="B153">
        <v>1595</v>
      </c>
    </row>
    <row r="154" spans="1:2" x14ac:dyDescent="0.35">
      <c r="A154" s="2">
        <v>45991</v>
      </c>
      <c r="B154">
        <v>3404</v>
      </c>
    </row>
    <row r="155" spans="1:2" x14ac:dyDescent="0.35">
      <c r="A155" s="2">
        <v>45992</v>
      </c>
      <c r="B155">
        <v>3863</v>
      </c>
    </row>
    <row r="156" spans="1:2" x14ac:dyDescent="0.35">
      <c r="A156" s="2">
        <v>45993</v>
      </c>
      <c r="B156">
        <v>1953</v>
      </c>
    </row>
    <row r="157" spans="1:2" x14ac:dyDescent="0.35">
      <c r="A157" s="2">
        <v>45994</v>
      </c>
      <c r="B157">
        <v>4759</v>
      </c>
    </row>
    <row r="158" spans="1:2" x14ac:dyDescent="0.35">
      <c r="A158" s="2">
        <v>45995</v>
      </c>
      <c r="B158">
        <v>1391</v>
      </c>
    </row>
    <row r="159" spans="1:2" x14ac:dyDescent="0.35">
      <c r="A159" s="2">
        <v>45996</v>
      </c>
      <c r="B159">
        <v>3681</v>
      </c>
    </row>
    <row r="160" spans="1:2" x14ac:dyDescent="0.35">
      <c r="A160" s="2">
        <v>45997</v>
      </c>
      <c r="B160">
        <v>3557</v>
      </c>
    </row>
    <row r="161" spans="1:2" x14ac:dyDescent="0.35">
      <c r="A161" s="2">
        <v>45998</v>
      </c>
      <c r="B161">
        <v>1736</v>
      </c>
    </row>
    <row r="162" spans="1:2" x14ac:dyDescent="0.35">
      <c r="A162" s="2">
        <v>45999</v>
      </c>
      <c r="B162">
        <v>3796</v>
      </c>
    </row>
    <row r="163" spans="1:2" x14ac:dyDescent="0.35">
      <c r="A163" s="2">
        <v>46000</v>
      </c>
      <c r="B163">
        <v>3099</v>
      </c>
    </row>
    <row r="164" spans="1:2" x14ac:dyDescent="0.35">
      <c r="A164" s="2">
        <v>46001</v>
      </c>
      <c r="B164">
        <v>3252</v>
      </c>
    </row>
    <row r="165" spans="1:2" x14ac:dyDescent="0.35">
      <c r="A165" s="2">
        <v>46002</v>
      </c>
      <c r="B165">
        <v>798</v>
      </c>
    </row>
    <row r="166" spans="1:2" x14ac:dyDescent="0.35">
      <c r="A166" s="2">
        <v>46003</v>
      </c>
      <c r="B166">
        <v>2260</v>
      </c>
    </row>
    <row r="167" spans="1:2" x14ac:dyDescent="0.35">
      <c r="A167" s="2">
        <v>46004</v>
      </c>
      <c r="B167">
        <v>4197</v>
      </c>
    </row>
    <row r="168" spans="1:2" x14ac:dyDescent="0.35">
      <c r="A168" s="2">
        <v>46005</v>
      </c>
      <c r="B168">
        <v>4837</v>
      </c>
    </row>
    <row r="169" spans="1:2" x14ac:dyDescent="0.35">
      <c r="A169" s="2">
        <v>46006</v>
      </c>
      <c r="B169">
        <v>954</v>
      </c>
    </row>
    <row r="170" spans="1:2" x14ac:dyDescent="0.35">
      <c r="A170" s="2">
        <v>46007</v>
      </c>
      <c r="B170">
        <v>3574</v>
      </c>
    </row>
    <row r="171" spans="1:2" x14ac:dyDescent="0.35">
      <c r="A171" s="2">
        <v>46008</v>
      </c>
      <c r="B171">
        <v>1807</v>
      </c>
    </row>
    <row r="172" spans="1:2" x14ac:dyDescent="0.35">
      <c r="A172" s="2">
        <v>46009</v>
      </c>
      <c r="B172">
        <v>2877</v>
      </c>
    </row>
    <row r="173" spans="1:2" x14ac:dyDescent="0.35">
      <c r="A173" s="2">
        <v>46010</v>
      </c>
      <c r="B173">
        <v>1833</v>
      </c>
    </row>
    <row r="174" spans="1:2" x14ac:dyDescent="0.35">
      <c r="A174" s="2">
        <v>46011</v>
      </c>
      <c r="B174">
        <v>3610</v>
      </c>
    </row>
    <row r="175" spans="1:2" x14ac:dyDescent="0.35">
      <c r="A175" s="2">
        <v>46012</v>
      </c>
      <c r="B175">
        <v>302</v>
      </c>
    </row>
    <row r="176" spans="1:2" x14ac:dyDescent="0.35">
      <c r="A176" s="2">
        <v>46013</v>
      </c>
      <c r="B176">
        <v>3355</v>
      </c>
    </row>
    <row r="177" spans="1:2" x14ac:dyDescent="0.35">
      <c r="A177" s="2">
        <v>46014</v>
      </c>
      <c r="B177">
        <v>4318</v>
      </c>
    </row>
    <row r="178" spans="1:2" x14ac:dyDescent="0.35">
      <c r="A178" s="2">
        <v>46015</v>
      </c>
      <c r="B178">
        <v>4596</v>
      </c>
    </row>
    <row r="179" spans="1:2" x14ac:dyDescent="0.35">
      <c r="A179" s="2">
        <v>46016</v>
      </c>
      <c r="B179">
        <v>866</v>
      </c>
    </row>
    <row r="180" spans="1:2" x14ac:dyDescent="0.35">
      <c r="A180" s="2">
        <v>46017</v>
      </c>
      <c r="B180">
        <v>4489</v>
      </c>
    </row>
    <row r="181" spans="1:2" x14ac:dyDescent="0.35">
      <c r="A181" s="2">
        <v>46018</v>
      </c>
      <c r="B181">
        <v>2427</v>
      </c>
    </row>
    <row r="182" spans="1:2" x14ac:dyDescent="0.35">
      <c r="A182" s="2">
        <v>46019</v>
      </c>
      <c r="B182">
        <v>3031</v>
      </c>
    </row>
    <row r="183" spans="1:2" x14ac:dyDescent="0.35">
      <c r="A183" s="2">
        <v>46020</v>
      </c>
      <c r="B183">
        <v>297</v>
      </c>
    </row>
    <row r="184" spans="1:2" x14ac:dyDescent="0.35">
      <c r="A184" s="2">
        <v>46021</v>
      </c>
      <c r="B184">
        <v>2030</v>
      </c>
    </row>
    <row r="185" spans="1:2" x14ac:dyDescent="0.35">
      <c r="A185" s="2">
        <v>46022</v>
      </c>
      <c r="B185">
        <v>3682</v>
      </c>
    </row>
    <row r="186" spans="1:2" x14ac:dyDescent="0.35">
      <c r="A186" s="2">
        <v>46023</v>
      </c>
      <c r="B186">
        <v>708</v>
      </c>
    </row>
    <row r="187" spans="1:2" x14ac:dyDescent="0.35">
      <c r="A187" s="2">
        <v>46024</v>
      </c>
      <c r="B187">
        <v>3372</v>
      </c>
    </row>
    <row r="188" spans="1:2" x14ac:dyDescent="0.35">
      <c r="A188" s="2">
        <v>46025</v>
      </c>
      <c r="B188">
        <v>1247</v>
      </c>
    </row>
    <row r="189" spans="1:2" x14ac:dyDescent="0.35">
      <c r="A189" s="2">
        <v>46026</v>
      </c>
      <c r="B189">
        <v>4382</v>
      </c>
    </row>
    <row r="190" spans="1:2" x14ac:dyDescent="0.35">
      <c r="A190" s="2">
        <v>46027</v>
      </c>
      <c r="B190">
        <v>3497</v>
      </c>
    </row>
    <row r="191" spans="1:2" x14ac:dyDescent="0.35">
      <c r="A191" s="2">
        <v>46028</v>
      </c>
      <c r="B191">
        <v>2611</v>
      </c>
    </row>
    <row r="192" spans="1:2" x14ac:dyDescent="0.35">
      <c r="A192" s="2">
        <v>46029</v>
      </c>
      <c r="B192">
        <v>1894</v>
      </c>
    </row>
    <row r="193" spans="1:2" x14ac:dyDescent="0.35">
      <c r="A193" s="2">
        <v>46030</v>
      </c>
      <c r="B193">
        <v>759</v>
      </c>
    </row>
    <row r="194" spans="1:2" x14ac:dyDescent="0.35">
      <c r="A194" s="2">
        <v>46031</v>
      </c>
      <c r="B194">
        <v>2911</v>
      </c>
    </row>
    <row r="195" spans="1:2" x14ac:dyDescent="0.35">
      <c r="A195" s="2">
        <v>46032</v>
      </c>
      <c r="B195">
        <v>1469</v>
      </c>
    </row>
    <row r="196" spans="1:2" x14ac:dyDescent="0.35">
      <c r="A196" s="2">
        <v>46033</v>
      </c>
      <c r="B196">
        <v>2086</v>
      </c>
    </row>
    <row r="197" spans="1:2" x14ac:dyDescent="0.35">
      <c r="A197" s="2">
        <v>46034</v>
      </c>
      <c r="B197">
        <v>246</v>
      </c>
    </row>
    <row r="198" spans="1:2" x14ac:dyDescent="0.35">
      <c r="A198" s="2">
        <v>46035</v>
      </c>
      <c r="B198">
        <v>3319</v>
      </c>
    </row>
    <row r="199" spans="1:2" x14ac:dyDescent="0.35">
      <c r="A199" s="2">
        <v>46036</v>
      </c>
      <c r="B199">
        <v>3011</v>
      </c>
    </row>
    <row r="200" spans="1:2" x14ac:dyDescent="0.35">
      <c r="A200" s="2">
        <v>46037</v>
      </c>
      <c r="B200">
        <v>1834</v>
      </c>
    </row>
    <row r="201" spans="1:2" x14ac:dyDescent="0.35">
      <c r="A201" s="2">
        <v>46038</v>
      </c>
      <c r="B201">
        <v>1943</v>
      </c>
    </row>
    <row r="202" spans="1:2" x14ac:dyDescent="0.35">
      <c r="A202" s="2">
        <v>46039</v>
      </c>
      <c r="B202">
        <v>588</v>
      </c>
    </row>
    <row r="203" spans="1:2" x14ac:dyDescent="0.35">
      <c r="A203" s="2">
        <v>46040</v>
      </c>
      <c r="B203">
        <v>3076</v>
      </c>
    </row>
    <row r="204" spans="1:2" x14ac:dyDescent="0.35">
      <c r="A204" s="2">
        <v>46041</v>
      </c>
      <c r="B204">
        <v>2059</v>
      </c>
    </row>
    <row r="205" spans="1:2" x14ac:dyDescent="0.35">
      <c r="A205" s="2">
        <v>46042</v>
      </c>
      <c r="B205">
        <v>2485</v>
      </c>
    </row>
    <row r="206" spans="1:2" x14ac:dyDescent="0.35">
      <c r="A206" s="2">
        <v>46043</v>
      </c>
      <c r="B206">
        <v>3019</v>
      </c>
    </row>
    <row r="207" spans="1:2" x14ac:dyDescent="0.35">
      <c r="A207" s="2">
        <v>46044</v>
      </c>
      <c r="B207">
        <v>4836</v>
      </c>
    </row>
    <row r="208" spans="1:2" x14ac:dyDescent="0.35">
      <c r="A208" s="2">
        <v>46045</v>
      </c>
      <c r="B208">
        <v>1902</v>
      </c>
    </row>
    <row r="209" spans="1:2" x14ac:dyDescent="0.35">
      <c r="A209" s="2">
        <v>46046</v>
      </c>
      <c r="B209">
        <v>4161</v>
      </c>
    </row>
    <row r="210" spans="1:2" x14ac:dyDescent="0.35">
      <c r="A210" s="2">
        <v>46047</v>
      </c>
      <c r="B210">
        <v>3469</v>
      </c>
    </row>
    <row r="211" spans="1:2" x14ac:dyDescent="0.35">
      <c r="A211" s="2">
        <v>46048</v>
      </c>
      <c r="B211">
        <v>362</v>
      </c>
    </row>
    <row r="212" spans="1:2" x14ac:dyDescent="0.35">
      <c r="A212" s="2">
        <v>46049</v>
      </c>
      <c r="B212">
        <v>723</v>
      </c>
    </row>
    <row r="213" spans="1:2" x14ac:dyDescent="0.35">
      <c r="A213" s="2">
        <v>46050</v>
      </c>
      <c r="B213">
        <v>1116</v>
      </c>
    </row>
    <row r="214" spans="1:2" x14ac:dyDescent="0.35">
      <c r="A214" s="2">
        <v>46051</v>
      </c>
      <c r="B214">
        <v>3743</v>
      </c>
    </row>
    <row r="215" spans="1:2" x14ac:dyDescent="0.35">
      <c r="A215" s="2">
        <v>46052</v>
      </c>
      <c r="B215">
        <v>2149</v>
      </c>
    </row>
    <row r="216" spans="1:2" x14ac:dyDescent="0.35">
      <c r="A216" s="2">
        <v>46053</v>
      </c>
      <c r="B216">
        <v>3823</v>
      </c>
    </row>
    <row r="217" spans="1:2" x14ac:dyDescent="0.35">
      <c r="A217" s="2">
        <v>46054</v>
      </c>
      <c r="B217">
        <v>4648</v>
      </c>
    </row>
    <row r="218" spans="1:2" x14ac:dyDescent="0.35">
      <c r="A218" s="2">
        <v>46055</v>
      </c>
      <c r="B218">
        <v>3208</v>
      </c>
    </row>
    <row r="219" spans="1:2" x14ac:dyDescent="0.35">
      <c r="A219" s="2">
        <v>46056</v>
      </c>
      <c r="B219">
        <v>4190</v>
      </c>
    </row>
    <row r="220" spans="1:2" x14ac:dyDescent="0.35">
      <c r="A220" s="2">
        <v>46057</v>
      </c>
      <c r="B220">
        <v>2156</v>
      </c>
    </row>
    <row r="221" spans="1:2" x14ac:dyDescent="0.35">
      <c r="A221" s="2">
        <v>46058</v>
      </c>
      <c r="B221">
        <v>3270</v>
      </c>
    </row>
    <row r="222" spans="1:2" x14ac:dyDescent="0.35">
      <c r="A222" s="2">
        <v>46059</v>
      </c>
      <c r="B222">
        <v>1782</v>
      </c>
    </row>
    <row r="223" spans="1:2" x14ac:dyDescent="0.35">
      <c r="A223" s="2">
        <v>46060</v>
      </c>
      <c r="B223">
        <v>2355</v>
      </c>
    </row>
    <row r="224" spans="1:2" x14ac:dyDescent="0.35">
      <c r="A224" s="2">
        <v>46061</v>
      </c>
      <c r="B224">
        <v>1254</v>
      </c>
    </row>
    <row r="225" spans="1:2" x14ac:dyDescent="0.35">
      <c r="A225" s="2">
        <v>46062</v>
      </c>
      <c r="B225">
        <v>4599</v>
      </c>
    </row>
    <row r="226" spans="1:2" x14ac:dyDescent="0.35">
      <c r="A226" s="2">
        <v>46063</v>
      </c>
      <c r="B226">
        <v>3291</v>
      </c>
    </row>
    <row r="227" spans="1:2" x14ac:dyDescent="0.35">
      <c r="A227" s="2">
        <v>46064</v>
      </c>
      <c r="B227">
        <v>1796</v>
      </c>
    </row>
    <row r="228" spans="1:2" x14ac:dyDescent="0.35">
      <c r="A228" s="2">
        <v>46065</v>
      </c>
      <c r="B228">
        <v>4091</v>
      </c>
    </row>
    <row r="229" spans="1:2" x14ac:dyDescent="0.35">
      <c r="A229" s="2">
        <v>46066</v>
      </c>
      <c r="B229">
        <v>4823</v>
      </c>
    </row>
    <row r="230" spans="1:2" x14ac:dyDescent="0.35">
      <c r="A230" s="2">
        <v>46067</v>
      </c>
      <c r="B230">
        <v>4782</v>
      </c>
    </row>
    <row r="231" spans="1:2" x14ac:dyDescent="0.35">
      <c r="A231" s="2">
        <v>46068</v>
      </c>
      <c r="B231">
        <v>1748</v>
      </c>
    </row>
    <row r="232" spans="1:2" x14ac:dyDescent="0.35">
      <c r="A232" s="2">
        <v>46069</v>
      </c>
      <c r="B232">
        <v>1545</v>
      </c>
    </row>
    <row r="233" spans="1:2" x14ac:dyDescent="0.35">
      <c r="A233" s="2">
        <v>46070</v>
      </c>
      <c r="B233">
        <v>4299</v>
      </c>
    </row>
    <row r="234" spans="1:2" x14ac:dyDescent="0.35">
      <c r="A234" s="2">
        <v>46071</v>
      </c>
      <c r="B234">
        <v>4023</v>
      </c>
    </row>
    <row r="235" spans="1:2" x14ac:dyDescent="0.35">
      <c r="A235" s="2">
        <v>46072</v>
      </c>
      <c r="B235">
        <v>353</v>
      </c>
    </row>
    <row r="236" spans="1:2" x14ac:dyDescent="0.35">
      <c r="A236" s="2">
        <v>46073</v>
      </c>
      <c r="B236">
        <v>3283</v>
      </c>
    </row>
    <row r="237" spans="1:2" x14ac:dyDescent="0.35">
      <c r="A237" s="2">
        <v>46074</v>
      </c>
      <c r="B237">
        <v>2657</v>
      </c>
    </row>
    <row r="238" spans="1:2" x14ac:dyDescent="0.35">
      <c r="A238" s="2">
        <v>46075</v>
      </c>
      <c r="B238">
        <v>198</v>
      </c>
    </row>
    <row r="239" spans="1:2" x14ac:dyDescent="0.35">
      <c r="A239" s="2">
        <v>46076</v>
      </c>
      <c r="B239">
        <v>2300</v>
      </c>
    </row>
    <row r="240" spans="1:2" x14ac:dyDescent="0.35">
      <c r="A240" s="2">
        <v>46077</v>
      </c>
      <c r="B240">
        <v>3061</v>
      </c>
    </row>
    <row r="241" spans="1:2" x14ac:dyDescent="0.35">
      <c r="A241" s="2">
        <v>46078</v>
      </c>
      <c r="B241">
        <v>4533</v>
      </c>
    </row>
    <row r="242" spans="1:2" x14ac:dyDescent="0.35">
      <c r="A242" s="2">
        <v>46079</v>
      </c>
      <c r="B242">
        <v>3877</v>
      </c>
    </row>
    <row r="243" spans="1:2" x14ac:dyDescent="0.35">
      <c r="A243" s="2">
        <v>46080</v>
      </c>
      <c r="B243">
        <v>2969</v>
      </c>
    </row>
    <row r="244" spans="1:2" x14ac:dyDescent="0.35">
      <c r="A244" s="2">
        <v>46081</v>
      </c>
      <c r="B244">
        <v>3334</v>
      </c>
    </row>
    <row r="245" spans="1:2" x14ac:dyDescent="0.35">
      <c r="A245" s="2">
        <v>46082</v>
      </c>
      <c r="B245">
        <v>3891</v>
      </c>
    </row>
    <row r="246" spans="1:2" x14ac:dyDescent="0.35">
      <c r="A246" s="2">
        <v>46083</v>
      </c>
      <c r="B246">
        <v>1056</v>
      </c>
    </row>
    <row r="247" spans="1:2" x14ac:dyDescent="0.35">
      <c r="A247" s="2">
        <v>46084</v>
      </c>
      <c r="B247">
        <v>4167</v>
      </c>
    </row>
    <row r="248" spans="1:2" x14ac:dyDescent="0.35">
      <c r="A248" s="2">
        <v>46085</v>
      </c>
      <c r="B248">
        <v>260</v>
      </c>
    </row>
    <row r="249" spans="1:2" x14ac:dyDescent="0.35">
      <c r="A249" s="2">
        <v>46086</v>
      </c>
      <c r="B249">
        <v>4593</v>
      </c>
    </row>
    <row r="250" spans="1:2" x14ac:dyDescent="0.35">
      <c r="A250" s="2">
        <v>46087</v>
      </c>
      <c r="B250">
        <v>1400</v>
      </c>
    </row>
    <row r="251" spans="1:2" x14ac:dyDescent="0.35">
      <c r="A251" s="2">
        <v>46088</v>
      </c>
      <c r="B251">
        <v>4087</v>
      </c>
    </row>
    <row r="252" spans="1:2" x14ac:dyDescent="0.35">
      <c r="A252" s="2">
        <v>46089</v>
      </c>
      <c r="B252">
        <v>1627</v>
      </c>
    </row>
    <row r="253" spans="1:2" x14ac:dyDescent="0.35">
      <c r="A253" s="2">
        <v>46090</v>
      </c>
      <c r="B253">
        <v>1318</v>
      </c>
    </row>
    <row r="254" spans="1:2" x14ac:dyDescent="0.35">
      <c r="A254" s="2">
        <v>46091</v>
      </c>
      <c r="B254">
        <v>4596</v>
      </c>
    </row>
    <row r="255" spans="1:2" x14ac:dyDescent="0.35">
      <c r="A255" s="2">
        <v>46092</v>
      </c>
      <c r="B255">
        <v>4835</v>
      </c>
    </row>
    <row r="256" spans="1:2" x14ac:dyDescent="0.35">
      <c r="A256" s="2">
        <v>46093</v>
      </c>
      <c r="B256">
        <v>3204</v>
      </c>
    </row>
    <row r="257" spans="1:2" x14ac:dyDescent="0.35">
      <c r="A257" s="2">
        <v>46094</v>
      </c>
      <c r="B257">
        <v>2835</v>
      </c>
    </row>
    <row r="258" spans="1:2" x14ac:dyDescent="0.35">
      <c r="A258" s="2">
        <v>46095</v>
      </c>
      <c r="B258">
        <v>4655</v>
      </c>
    </row>
    <row r="259" spans="1:2" x14ac:dyDescent="0.35">
      <c r="A259" s="2">
        <v>46096</v>
      </c>
      <c r="B259">
        <v>1054</v>
      </c>
    </row>
    <row r="260" spans="1:2" x14ac:dyDescent="0.35">
      <c r="A260" s="2">
        <v>46097</v>
      </c>
      <c r="B260">
        <v>4665</v>
      </c>
    </row>
    <row r="261" spans="1:2" x14ac:dyDescent="0.35">
      <c r="A261" s="2">
        <v>46098</v>
      </c>
      <c r="B261">
        <v>3546</v>
      </c>
    </row>
    <row r="262" spans="1:2" x14ac:dyDescent="0.35">
      <c r="A262" s="2">
        <v>46099</v>
      </c>
      <c r="B262">
        <v>1145</v>
      </c>
    </row>
    <row r="263" spans="1:2" x14ac:dyDescent="0.35">
      <c r="A263" s="2">
        <v>46100</v>
      </c>
      <c r="B263">
        <v>1793</v>
      </c>
    </row>
    <row r="264" spans="1:2" x14ac:dyDescent="0.35">
      <c r="A264" s="2">
        <v>46101</v>
      </c>
      <c r="B264">
        <v>3536</v>
      </c>
    </row>
    <row r="265" spans="1:2" x14ac:dyDescent="0.35">
      <c r="A265" s="2">
        <v>46102</v>
      </c>
      <c r="B265">
        <v>662</v>
      </c>
    </row>
    <row r="266" spans="1:2" x14ac:dyDescent="0.35">
      <c r="A266" s="2">
        <v>46103</v>
      </c>
      <c r="B266">
        <v>2585</v>
      </c>
    </row>
    <row r="267" spans="1:2" x14ac:dyDescent="0.35">
      <c r="A267" s="2">
        <v>46104</v>
      </c>
      <c r="B267">
        <v>3454</v>
      </c>
    </row>
    <row r="268" spans="1:2" x14ac:dyDescent="0.35">
      <c r="A268" s="2">
        <v>46105</v>
      </c>
      <c r="B268">
        <v>325</v>
      </c>
    </row>
    <row r="269" spans="1:2" x14ac:dyDescent="0.35">
      <c r="A269" s="2">
        <v>46106</v>
      </c>
      <c r="B269">
        <v>4993</v>
      </c>
    </row>
    <row r="270" spans="1:2" x14ac:dyDescent="0.35">
      <c r="A270" s="2">
        <v>46107</v>
      </c>
      <c r="B270">
        <v>1059</v>
      </c>
    </row>
    <row r="271" spans="1:2" x14ac:dyDescent="0.35">
      <c r="A271" s="2">
        <v>46108</v>
      </c>
      <c r="B271">
        <v>4648</v>
      </c>
    </row>
    <row r="272" spans="1:2" x14ac:dyDescent="0.35">
      <c r="A272" s="2">
        <v>46109</v>
      </c>
      <c r="B272">
        <v>3167</v>
      </c>
    </row>
    <row r="273" spans="1:2" x14ac:dyDescent="0.35">
      <c r="A273" s="2">
        <v>46110</v>
      </c>
      <c r="B273">
        <v>915</v>
      </c>
    </row>
    <row r="274" spans="1:2" x14ac:dyDescent="0.35">
      <c r="A274" s="2">
        <v>46111</v>
      </c>
      <c r="B274">
        <v>4854</v>
      </c>
    </row>
    <row r="275" spans="1:2" x14ac:dyDescent="0.35">
      <c r="A275" s="2">
        <v>46112</v>
      </c>
      <c r="B275">
        <v>4742</v>
      </c>
    </row>
    <row r="276" spans="1:2" x14ac:dyDescent="0.35">
      <c r="A276" s="2">
        <v>46113</v>
      </c>
      <c r="B276">
        <v>3220</v>
      </c>
    </row>
    <row r="277" spans="1:2" x14ac:dyDescent="0.35">
      <c r="A277" s="2">
        <v>46114</v>
      </c>
      <c r="B277">
        <v>116</v>
      </c>
    </row>
    <row r="278" spans="1:2" x14ac:dyDescent="0.35">
      <c r="A278" s="2">
        <v>46115</v>
      </c>
      <c r="B278">
        <v>1343</v>
      </c>
    </row>
    <row r="279" spans="1:2" x14ac:dyDescent="0.35">
      <c r="A279" s="2">
        <v>46116</v>
      </c>
      <c r="B279">
        <v>2305</v>
      </c>
    </row>
    <row r="280" spans="1:2" x14ac:dyDescent="0.35">
      <c r="A280" s="2">
        <v>46117</v>
      </c>
      <c r="B280">
        <v>2624</v>
      </c>
    </row>
    <row r="281" spans="1:2" x14ac:dyDescent="0.35">
      <c r="A281" s="2">
        <v>46118</v>
      </c>
      <c r="B281">
        <v>1169</v>
      </c>
    </row>
    <row r="282" spans="1:2" x14ac:dyDescent="0.35">
      <c r="A282" s="2">
        <v>46119</v>
      </c>
      <c r="B282">
        <v>3544</v>
      </c>
    </row>
    <row r="283" spans="1:2" x14ac:dyDescent="0.35">
      <c r="A283" s="2">
        <v>46120</v>
      </c>
      <c r="B283">
        <v>2665</v>
      </c>
    </row>
    <row r="284" spans="1:2" x14ac:dyDescent="0.35">
      <c r="A284" s="2">
        <v>46121</v>
      </c>
      <c r="B284">
        <v>1160</v>
      </c>
    </row>
    <row r="285" spans="1:2" x14ac:dyDescent="0.35">
      <c r="A285" s="2">
        <v>46122</v>
      </c>
      <c r="B285">
        <v>2427</v>
      </c>
    </row>
    <row r="286" spans="1:2" x14ac:dyDescent="0.35">
      <c r="A286" s="2">
        <v>46123</v>
      </c>
      <c r="B286">
        <v>3520</v>
      </c>
    </row>
    <row r="287" spans="1:2" x14ac:dyDescent="0.35">
      <c r="A287" s="2">
        <v>46124</v>
      </c>
      <c r="B287">
        <v>401</v>
      </c>
    </row>
    <row r="288" spans="1:2" x14ac:dyDescent="0.35">
      <c r="A288" s="2">
        <v>46125</v>
      </c>
      <c r="B288">
        <v>4376</v>
      </c>
    </row>
    <row r="289" spans="1:2" x14ac:dyDescent="0.35">
      <c r="A289" s="2">
        <v>46126</v>
      </c>
      <c r="B289">
        <v>706</v>
      </c>
    </row>
    <row r="290" spans="1:2" x14ac:dyDescent="0.35">
      <c r="A290" s="2">
        <v>46127</v>
      </c>
      <c r="B290">
        <v>3270</v>
      </c>
    </row>
    <row r="291" spans="1:2" x14ac:dyDescent="0.35">
      <c r="A291" s="2">
        <v>46128</v>
      </c>
      <c r="B291">
        <v>799</v>
      </c>
    </row>
    <row r="292" spans="1:2" x14ac:dyDescent="0.35">
      <c r="A292" s="2">
        <v>46129</v>
      </c>
      <c r="B292">
        <v>1239</v>
      </c>
    </row>
    <row r="293" spans="1:2" x14ac:dyDescent="0.35">
      <c r="A293" s="2">
        <v>46130</v>
      </c>
      <c r="B293">
        <v>290</v>
      </c>
    </row>
    <row r="294" spans="1:2" x14ac:dyDescent="0.35">
      <c r="A294" s="2">
        <v>46131</v>
      </c>
      <c r="B294">
        <v>2400</v>
      </c>
    </row>
    <row r="295" spans="1:2" x14ac:dyDescent="0.35">
      <c r="A295" s="2">
        <v>46132</v>
      </c>
      <c r="B295">
        <v>1080</v>
      </c>
    </row>
    <row r="296" spans="1:2" x14ac:dyDescent="0.35">
      <c r="A296" s="2">
        <v>46133</v>
      </c>
      <c r="B296">
        <v>3075</v>
      </c>
    </row>
    <row r="297" spans="1:2" x14ac:dyDescent="0.35">
      <c r="A297" s="2">
        <v>46134</v>
      </c>
      <c r="B297">
        <v>1284</v>
      </c>
    </row>
    <row r="298" spans="1:2" x14ac:dyDescent="0.35">
      <c r="A298" s="2">
        <v>46135</v>
      </c>
      <c r="B298">
        <v>3427</v>
      </c>
    </row>
    <row r="299" spans="1:2" x14ac:dyDescent="0.35">
      <c r="A299" s="2">
        <v>46136</v>
      </c>
      <c r="B299">
        <v>3494</v>
      </c>
    </row>
    <row r="300" spans="1:2" x14ac:dyDescent="0.35">
      <c r="A300" s="2">
        <v>46137</v>
      </c>
      <c r="B300">
        <v>227</v>
      </c>
    </row>
    <row r="301" spans="1:2" x14ac:dyDescent="0.35">
      <c r="A301" s="2">
        <v>46138</v>
      </c>
      <c r="B301">
        <v>2165</v>
      </c>
    </row>
    <row r="302" spans="1:2" x14ac:dyDescent="0.35">
      <c r="A302" s="2">
        <v>46139</v>
      </c>
      <c r="B302">
        <v>1916</v>
      </c>
    </row>
    <row r="303" spans="1:2" x14ac:dyDescent="0.35">
      <c r="A303" s="2">
        <v>46140</v>
      </c>
      <c r="B303">
        <v>669</v>
      </c>
    </row>
    <row r="304" spans="1:2" x14ac:dyDescent="0.35">
      <c r="A304" s="2">
        <v>46141</v>
      </c>
      <c r="B304">
        <v>1995</v>
      </c>
    </row>
    <row r="305" spans="1:2" x14ac:dyDescent="0.35">
      <c r="A305" s="2">
        <v>46142</v>
      </c>
      <c r="B305">
        <v>2833</v>
      </c>
    </row>
    <row r="306" spans="1:2" x14ac:dyDescent="0.35">
      <c r="A306" s="2">
        <v>46143</v>
      </c>
      <c r="B306">
        <v>3963</v>
      </c>
    </row>
    <row r="307" spans="1:2" x14ac:dyDescent="0.35">
      <c r="A307" s="2">
        <v>46144</v>
      </c>
      <c r="B307">
        <v>4821</v>
      </c>
    </row>
    <row r="308" spans="1:2" x14ac:dyDescent="0.35">
      <c r="A308" s="2">
        <v>46145</v>
      </c>
      <c r="B308">
        <v>4114</v>
      </c>
    </row>
    <row r="309" spans="1:2" x14ac:dyDescent="0.35">
      <c r="A309" s="2">
        <v>46146</v>
      </c>
      <c r="B309">
        <v>3001</v>
      </c>
    </row>
    <row r="310" spans="1:2" x14ac:dyDescent="0.35">
      <c r="A310" s="2">
        <v>46147</v>
      </c>
      <c r="B310">
        <v>1786</v>
      </c>
    </row>
    <row r="311" spans="1:2" x14ac:dyDescent="0.35">
      <c r="A311" s="2">
        <v>46148</v>
      </c>
      <c r="B311">
        <v>3109</v>
      </c>
    </row>
    <row r="312" spans="1:2" x14ac:dyDescent="0.35">
      <c r="A312" s="2">
        <v>46149</v>
      </c>
      <c r="B312">
        <v>254</v>
      </c>
    </row>
    <row r="313" spans="1:2" x14ac:dyDescent="0.35">
      <c r="A313" s="2">
        <v>46150</v>
      </c>
      <c r="B313">
        <v>2637</v>
      </c>
    </row>
    <row r="314" spans="1:2" x14ac:dyDescent="0.35">
      <c r="A314" s="2">
        <v>46151</v>
      </c>
      <c r="B314">
        <v>1509</v>
      </c>
    </row>
    <row r="315" spans="1:2" x14ac:dyDescent="0.35">
      <c r="A315" s="2">
        <v>46152</v>
      </c>
      <c r="B315">
        <v>4157</v>
      </c>
    </row>
    <row r="316" spans="1:2" x14ac:dyDescent="0.35">
      <c r="A316" s="2">
        <v>46153</v>
      </c>
      <c r="B316">
        <v>884</v>
      </c>
    </row>
    <row r="317" spans="1:2" x14ac:dyDescent="0.35">
      <c r="A317" s="2">
        <v>46154</v>
      </c>
      <c r="B317">
        <v>3275</v>
      </c>
    </row>
    <row r="318" spans="1:2" x14ac:dyDescent="0.35">
      <c r="A318" s="2">
        <v>46155</v>
      </c>
      <c r="B318">
        <v>4441</v>
      </c>
    </row>
    <row r="319" spans="1:2" x14ac:dyDescent="0.35">
      <c r="A319" s="2">
        <v>46156</v>
      </c>
      <c r="B319">
        <v>2906</v>
      </c>
    </row>
    <row r="320" spans="1:2" x14ac:dyDescent="0.35">
      <c r="A320" s="2">
        <v>46157</v>
      </c>
      <c r="B320">
        <v>637</v>
      </c>
    </row>
    <row r="321" spans="1:2" x14ac:dyDescent="0.35">
      <c r="A321" s="2">
        <v>46158</v>
      </c>
      <c r="B321">
        <v>1941</v>
      </c>
    </row>
    <row r="322" spans="1:2" x14ac:dyDescent="0.35">
      <c r="A322" s="2">
        <v>46159</v>
      </c>
      <c r="B322">
        <v>2555</v>
      </c>
    </row>
    <row r="323" spans="1:2" x14ac:dyDescent="0.35">
      <c r="A323" s="2">
        <v>46160</v>
      </c>
      <c r="B323">
        <v>624</v>
      </c>
    </row>
    <row r="324" spans="1:2" x14ac:dyDescent="0.35">
      <c r="A324" s="2">
        <v>46161</v>
      </c>
      <c r="B324">
        <v>3050</v>
      </c>
    </row>
    <row r="325" spans="1:2" x14ac:dyDescent="0.35">
      <c r="A325" s="2">
        <v>46162</v>
      </c>
      <c r="B325">
        <v>4231</v>
      </c>
    </row>
    <row r="326" spans="1:2" x14ac:dyDescent="0.35">
      <c r="A326" s="2">
        <v>46163</v>
      </c>
      <c r="B326">
        <v>4880</v>
      </c>
    </row>
    <row r="327" spans="1:2" x14ac:dyDescent="0.35">
      <c r="A327" s="2">
        <v>46164</v>
      </c>
      <c r="B327">
        <v>4215</v>
      </c>
    </row>
    <row r="328" spans="1:2" x14ac:dyDescent="0.35">
      <c r="A328" s="2"/>
    </row>
    <row r="329" spans="1:2" x14ac:dyDescent="0.35">
      <c r="A329" s="2">
        <v>46165</v>
      </c>
    </row>
    <row r="330" spans="1:2" x14ac:dyDescent="0.35">
      <c r="A330" s="2">
        <v>46166</v>
      </c>
    </row>
    <row r="331" spans="1:2" x14ac:dyDescent="0.35">
      <c r="A331" s="2">
        <v>46167</v>
      </c>
    </row>
    <row r="332" spans="1:2" x14ac:dyDescent="0.35">
      <c r="A332" s="2">
        <v>46168</v>
      </c>
    </row>
    <row r="333" spans="1:2" x14ac:dyDescent="0.35">
      <c r="A333" s="2">
        <v>46169</v>
      </c>
    </row>
    <row r="334" spans="1:2" x14ac:dyDescent="0.35">
      <c r="A334" s="2">
        <v>46170</v>
      </c>
    </row>
    <row r="335" spans="1:2" x14ac:dyDescent="0.35">
      <c r="A335" s="2">
        <v>46171</v>
      </c>
    </row>
    <row r="336" spans="1:2" x14ac:dyDescent="0.35">
      <c r="A336" s="2">
        <v>46172</v>
      </c>
    </row>
    <row r="337" spans="1:1" x14ac:dyDescent="0.35">
      <c r="A337" s="2">
        <v>46173</v>
      </c>
    </row>
    <row r="338" spans="1:1" x14ac:dyDescent="0.35">
      <c r="A338" s="2">
        <v>46174</v>
      </c>
    </row>
    <row r="339" spans="1:1" x14ac:dyDescent="0.35">
      <c r="A339" s="2">
        <v>46175</v>
      </c>
    </row>
    <row r="340" spans="1:1" x14ac:dyDescent="0.35">
      <c r="A340" s="2">
        <v>46176</v>
      </c>
    </row>
    <row r="341" spans="1:1" x14ac:dyDescent="0.35">
      <c r="A341" s="2">
        <v>46177</v>
      </c>
    </row>
    <row r="342" spans="1:1" x14ac:dyDescent="0.35">
      <c r="A342" s="2">
        <v>46178</v>
      </c>
    </row>
    <row r="343" spans="1:1" x14ac:dyDescent="0.35">
      <c r="A343" s="2">
        <v>46179</v>
      </c>
    </row>
    <row r="344" spans="1:1" x14ac:dyDescent="0.35">
      <c r="A344" s="2">
        <v>46180</v>
      </c>
    </row>
    <row r="345" spans="1:1" x14ac:dyDescent="0.35">
      <c r="A345" s="2">
        <v>46181</v>
      </c>
    </row>
    <row r="346" spans="1:1" x14ac:dyDescent="0.35">
      <c r="A346" s="2">
        <v>46182</v>
      </c>
    </row>
    <row r="347" spans="1:1" x14ac:dyDescent="0.35">
      <c r="A347" s="2">
        <v>46183</v>
      </c>
    </row>
    <row r="348" spans="1:1" x14ac:dyDescent="0.35">
      <c r="A348" s="2">
        <v>46184</v>
      </c>
    </row>
    <row r="349" spans="1:1" x14ac:dyDescent="0.35">
      <c r="A349" s="2">
        <v>46185</v>
      </c>
    </row>
    <row r="350" spans="1:1" x14ac:dyDescent="0.35">
      <c r="A350" s="2">
        <v>46186</v>
      </c>
    </row>
    <row r="351" spans="1:1" x14ac:dyDescent="0.35">
      <c r="A351" s="2">
        <v>46187</v>
      </c>
    </row>
    <row r="352" spans="1:1" x14ac:dyDescent="0.35">
      <c r="A352" s="2">
        <v>46188</v>
      </c>
    </row>
    <row r="353" spans="1:1" x14ac:dyDescent="0.35">
      <c r="A353" s="2">
        <v>46189</v>
      </c>
    </row>
    <row r="354" spans="1:1" x14ac:dyDescent="0.35">
      <c r="A354" s="2">
        <v>46190</v>
      </c>
    </row>
    <row r="355" spans="1:1" x14ac:dyDescent="0.35">
      <c r="A355" s="2">
        <v>46191</v>
      </c>
    </row>
    <row r="356" spans="1:1" x14ac:dyDescent="0.35">
      <c r="A356" s="2">
        <v>46192</v>
      </c>
    </row>
    <row r="357" spans="1:1" x14ac:dyDescent="0.35">
      <c r="A357" s="2">
        <v>46193</v>
      </c>
    </row>
    <row r="358" spans="1:1" x14ac:dyDescent="0.35">
      <c r="A358" s="2">
        <v>46194</v>
      </c>
    </row>
    <row r="359" spans="1:1" x14ac:dyDescent="0.35">
      <c r="A359" s="2">
        <v>46195</v>
      </c>
    </row>
    <row r="360" spans="1:1" x14ac:dyDescent="0.35">
      <c r="A360" s="2">
        <v>46196</v>
      </c>
    </row>
    <row r="361" spans="1:1" x14ac:dyDescent="0.35">
      <c r="A361" s="2">
        <v>46197</v>
      </c>
    </row>
    <row r="362" spans="1:1" x14ac:dyDescent="0.35">
      <c r="A362" s="2">
        <v>46198</v>
      </c>
    </row>
    <row r="363" spans="1:1" x14ac:dyDescent="0.35">
      <c r="A363" s="2">
        <v>46199</v>
      </c>
    </row>
    <row r="364" spans="1:1" x14ac:dyDescent="0.35">
      <c r="A364" s="2">
        <v>46200</v>
      </c>
    </row>
    <row r="365" spans="1:1" x14ac:dyDescent="0.35">
      <c r="A365" s="2">
        <v>46201</v>
      </c>
    </row>
    <row r="366" spans="1:1" x14ac:dyDescent="0.35">
      <c r="A366" s="2">
        <v>46202</v>
      </c>
    </row>
    <row r="367" spans="1:1" x14ac:dyDescent="0.35">
      <c r="A367" s="2">
        <v>46203</v>
      </c>
    </row>
    <row r="368" spans="1:1" x14ac:dyDescent="0.35">
      <c r="A368" s="2">
        <v>46204</v>
      </c>
    </row>
    <row r="369" spans="1:1" x14ac:dyDescent="0.35">
      <c r="A369" s="2">
        <v>46205</v>
      </c>
    </row>
    <row r="370" spans="1:1" x14ac:dyDescent="0.35">
      <c r="A370" s="2">
        <v>46206</v>
      </c>
    </row>
    <row r="371" spans="1:1" x14ac:dyDescent="0.35">
      <c r="A371" s="2">
        <v>46207</v>
      </c>
    </row>
    <row r="372" spans="1:1" x14ac:dyDescent="0.35">
      <c r="A372" s="2">
        <v>46208</v>
      </c>
    </row>
    <row r="373" spans="1:1" x14ac:dyDescent="0.35">
      <c r="A373" s="2">
        <v>46209</v>
      </c>
    </row>
    <row r="374" spans="1:1" x14ac:dyDescent="0.35">
      <c r="A374" s="2">
        <v>46210</v>
      </c>
    </row>
    <row r="375" spans="1:1" x14ac:dyDescent="0.35">
      <c r="A375" s="2">
        <v>46211</v>
      </c>
    </row>
    <row r="376" spans="1:1" x14ac:dyDescent="0.35">
      <c r="A376" s="2">
        <v>46212</v>
      </c>
    </row>
    <row r="377" spans="1:1" x14ac:dyDescent="0.35">
      <c r="A377" s="2">
        <v>46213</v>
      </c>
    </row>
    <row r="378" spans="1:1" x14ac:dyDescent="0.35">
      <c r="A378" s="2">
        <v>46214</v>
      </c>
    </row>
    <row r="379" spans="1:1" x14ac:dyDescent="0.35">
      <c r="A379" s="2">
        <v>46215</v>
      </c>
    </row>
    <row r="380" spans="1:1" x14ac:dyDescent="0.35">
      <c r="A380" s="2">
        <v>46216</v>
      </c>
    </row>
    <row r="381" spans="1:1" x14ac:dyDescent="0.35">
      <c r="A381" s="2">
        <v>46217</v>
      </c>
    </row>
    <row r="382" spans="1:1" x14ac:dyDescent="0.35">
      <c r="A382" s="2">
        <v>46218</v>
      </c>
    </row>
    <row r="383" spans="1:1" x14ac:dyDescent="0.35">
      <c r="A383" s="2">
        <v>46219</v>
      </c>
    </row>
    <row r="384" spans="1:1" x14ac:dyDescent="0.35">
      <c r="A384" s="2">
        <v>46220</v>
      </c>
    </row>
    <row r="385" spans="1:1" x14ac:dyDescent="0.35">
      <c r="A385" s="2">
        <v>46221</v>
      </c>
    </row>
    <row r="386" spans="1:1" x14ac:dyDescent="0.35">
      <c r="A386" s="2">
        <v>46222</v>
      </c>
    </row>
    <row r="387" spans="1:1" x14ac:dyDescent="0.35">
      <c r="A387" s="2">
        <v>46223</v>
      </c>
    </row>
    <row r="388" spans="1:1" x14ac:dyDescent="0.35">
      <c r="A388" s="2">
        <v>46224</v>
      </c>
    </row>
    <row r="389" spans="1:1" x14ac:dyDescent="0.35">
      <c r="A389" s="2">
        <v>46225</v>
      </c>
    </row>
    <row r="390" spans="1:1" x14ac:dyDescent="0.35">
      <c r="A390" s="2">
        <v>46226</v>
      </c>
    </row>
    <row r="391" spans="1:1" x14ac:dyDescent="0.35">
      <c r="A391" s="2">
        <v>46227</v>
      </c>
    </row>
    <row r="392" spans="1:1" x14ac:dyDescent="0.35">
      <c r="A392" s="2">
        <v>46228</v>
      </c>
    </row>
    <row r="393" spans="1:1" x14ac:dyDescent="0.35">
      <c r="A393" s="2">
        <v>46229</v>
      </c>
    </row>
    <row r="394" spans="1:1" x14ac:dyDescent="0.35">
      <c r="A394" s="2">
        <v>46230</v>
      </c>
    </row>
    <row r="395" spans="1:1" x14ac:dyDescent="0.35">
      <c r="A395" s="2">
        <v>46231</v>
      </c>
    </row>
    <row r="396" spans="1:1" x14ac:dyDescent="0.35">
      <c r="A396" s="2">
        <v>46232</v>
      </c>
    </row>
    <row r="397" spans="1:1" x14ac:dyDescent="0.35">
      <c r="A397" s="2">
        <v>46233</v>
      </c>
    </row>
    <row r="398" spans="1:1" x14ac:dyDescent="0.35">
      <c r="A398" s="2">
        <v>46234</v>
      </c>
    </row>
    <row r="399" spans="1:1" x14ac:dyDescent="0.35">
      <c r="A399" s="2">
        <v>46235</v>
      </c>
    </row>
    <row r="400" spans="1:1" x14ac:dyDescent="0.35">
      <c r="A400" s="2">
        <v>46236</v>
      </c>
    </row>
    <row r="401" spans="1:1" x14ac:dyDescent="0.35">
      <c r="A401" s="2">
        <v>46237</v>
      </c>
    </row>
    <row r="402" spans="1:1" x14ac:dyDescent="0.35">
      <c r="A402" s="2">
        <v>46238</v>
      </c>
    </row>
    <row r="403" spans="1:1" x14ac:dyDescent="0.35">
      <c r="A403" s="2">
        <v>46239</v>
      </c>
    </row>
    <row r="404" spans="1:1" x14ac:dyDescent="0.35">
      <c r="A404" s="2">
        <v>46240</v>
      </c>
    </row>
    <row r="405" spans="1:1" x14ac:dyDescent="0.35">
      <c r="A405" s="2">
        <v>46241</v>
      </c>
    </row>
    <row r="406" spans="1:1" x14ac:dyDescent="0.35">
      <c r="A406" s="2">
        <v>46242</v>
      </c>
    </row>
    <row r="407" spans="1:1" x14ac:dyDescent="0.35">
      <c r="A407" s="2">
        <v>46243</v>
      </c>
    </row>
    <row r="408" spans="1:1" x14ac:dyDescent="0.35">
      <c r="A408" s="2">
        <v>46244</v>
      </c>
    </row>
    <row r="409" spans="1:1" x14ac:dyDescent="0.35">
      <c r="A409" s="2">
        <v>46245</v>
      </c>
    </row>
    <row r="410" spans="1:1" x14ac:dyDescent="0.35">
      <c r="A410" s="2">
        <v>46246</v>
      </c>
    </row>
    <row r="411" spans="1:1" x14ac:dyDescent="0.35">
      <c r="A411" s="2">
        <v>46247</v>
      </c>
    </row>
    <row r="412" spans="1:1" x14ac:dyDescent="0.35">
      <c r="A412" s="2">
        <v>46248</v>
      </c>
    </row>
    <row r="413" spans="1:1" x14ac:dyDescent="0.35">
      <c r="A413" s="2">
        <v>46249</v>
      </c>
    </row>
    <row r="414" spans="1:1" x14ac:dyDescent="0.35">
      <c r="A414" s="2">
        <v>46250</v>
      </c>
    </row>
    <row r="415" spans="1:1" x14ac:dyDescent="0.35">
      <c r="A415" s="2">
        <v>46251</v>
      </c>
    </row>
    <row r="416" spans="1:1" x14ac:dyDescent="0.35">
      <c r="A416" s="2">
        <v>46252</v>
      </c>
    </row>
    <row r="417" spans="1:1" x14ac:dyDescent="0.35">
      <c r="A417" s="2">
        <v>46253</v>
      </c>
    </row>
    <row r="418" spans="1:1" x14ac:dyDescent="0.35">
      <c r="A418" s="2">
        <v>46254</v>
      </c>
    </row>
    <row r="419" spans="1:1" x14ac:dyDescent="0.35">
      <c r="A419" s="2">
        <v>46255</v>
      </c>
    </row>
    <row r="420" spans="1:1" x14ac:dyDescent="0.35">
      <c r="A420" s="2">
        <v>46256</v>
      </c>
    </row>
    <row r="421" spans="1:1" x14ac:dyDescent="0.35">
      <c r="A421" s="2">
        <v>46257</v>
      </c>
    </row>
    <row r="422" spans="1:1" x14ac:dyDescent="0.35">
      <c r="A422" s="2">
        <v>46258</v>
      </c>
    </row>
    <row r="423" spans="1:1" x14ac:dyDescent="0.35">
      <c r="A423" s="2">
        <v>46259</v>
      </c>
    </row>
    <row r="424" spans="1:1" x14ac:dyDescent="0.35">
      <c r="A424" s="2">
        <v>46260</v>
      </c>
    </row>
    <row r="425" spans="1:1" x14ac:dyDescent="0.35">
      <c r="A425" s="2">
        <v>46261</v>
      </c>
    </row>
    <row r="426" spans="1:1" x14ac:dyDescent="0.35">
      <c r="A426" s="2">
        <v>46262</v>
      </c>
    </row>
    <row r="427" spans="1:1" x14ac:dyDescent="0.35">
      <c r="A427" s="2">
        <v>46263</v>
      </c>
    </row>
    <row r="428" spans="1:1" x14ac:dyDescent="0.35">
      <c r="A428" s="2">
        <v>46264</v>
      </c>
    </row>
    <row r="429" spans="1:1" x14ac:dyDescent="0.35">
      <c r="A429" s="2">
        <v>46265</v>
      </c>
    </row>
    <row r="430" spans="1:1" x14ac:dyDescent="0.35">
      <c r="A430" s="2">
        <v>46266</v>
      </c>
    </row>
    <row r="431" spans="1:1" x14ac:dyDescent="0.35">
      <c r="A431" s="2">
        <v>46267</v>
      </c>
    </row>
    <row r="432" spans="1:1" x14ac:dyDescent="0.35">
      <c r="A432" s="2">
        <v>46268</v>
      </c>
    </row>
    <row r="433" spans="1:1" x14ac:dyDescent="0.35">
      <c r="A433" s="2">
        <v>46269</v>
      </c>
    </row>
    <row r="434" spans="1:1" x14ac:dyDescent="0.35">
      <c r="A434" s="2">
        <v>46270</v>
      </c>
    </row>
    <row r="435" spans="1:1" x14ac:dyDescent="0.35">
      <c r="A435" s="2">
        <v>46271</v>
      </c>
    </row>
    <row r="436" spans="1:1" x14ac:dyDescent="0.35">
      <c r="A436" s="2">
        <v>46272</v>
      </c>
    </row>
    <row r="437" spans="1:1" x14ac:dyDescent="0.35">
      <c r="A437" s="2">
        <v>46273</v>
      </c>
    </row>
    <row r="438" spans="1:1" x14ac:dyDescent="0.35">
      <c r="A438" s="2">
        <v>46274</v>
      </c>
    </row>
    <row r="439" spans="1:1" x14ac:dyDescent="0.35">
      <c r="A439" s="2">
        <v>46275</v>
      </c>
    </row>
    <row r="440" spans="1:1" x14ac:dyDescent="0.35">
      <c r="A440" s="2">
        <v>46276</v>
      </c>
    </row>
    <row r="441" spans="1:1" x14ac:dyDescent="0.35">
      <c r="A441" s="2">
        <v>46277</v>
      </c>
    </row>
    <row r="442" spans="1:1" x14ac:dyDescent="0.35">
      <c r="A442" s="2">
        <v>46278</v>
      </c>
    </row>
    <row r="443" spans="1:1" x14ac:dyDescent="0.35">
      <c r="A443" s="2">
        <v>46279</v>
      </c>
    </row>
    <row r="444" spans="1:1" x14ac:dyDescent="0.35">
      <c r="A444" s="2">
        <v>46280</v>
      </c>
    </row>
    <row r="445" spans="1:1" x14ac:dyDescent="0.35">
      <c r="A445" s="2">
        <v>46281</v>
      </c>
    </row>
    <row r="446" spans="1:1" x14ac:dyDescent="0.35">
      <c r="A446" s="2">
        <v>46282</v>
      </c>
    </row>
    <row r="447" spans="1:1" x14ac:dyDescent="0.35">
      <c r="A447" s="2">
        <v>46283</v>
      </c>
    </row>
    <row r="448" spans="1:1" x14ac:dyDescent="0.35">
      <c r="A448" s="2">
        <v>46284</v>
      </c>
    </row>
    <row r="449" spans="1:1" x14ac:dyDescent="0.35">
      <c r="A449" s="2">
        <v>46285</v>
      </c>
    </row>
    <row r="450" spans="1:1" x14ac:dyDescent="0.35">
      <c r="A450" s="2">
        <v>46286</v>
      </c>
    </row>
    <row r="451" spans="1:1" x14ac:dyDescent="0.35">
      <c r="A451" s="2">
        <v>46287</v>
      </c>
    </row>
    <row r="452" spans="1:1" x14ac:dyDescent="0.35">
      <c r="A452" s="2">
        <v>46288</v>
      </c>
    </row>
    <row r="453" spans="1:1" x14ac:dyDescent="0.35">
      <c r="A453" s="2">
        <v>46289</v>
      </c>
    </row>
    <row r="454" spans="1:1" x14ac:dyDescent="0.35">
      <c r="A454" s="2">
        <v>46290</v>
      </c>
    </row>
    <row r="455" spans="1:1" x14ac:dyDescent="0.35">
      <c r="A455" s="2">
        <v>46291</v>
      </c>
    </row>
    <row r="456" spans="1:1" x14ac:dyDescent="0.35">
      <c r="A456" s="2">
        <v>46292</v>
      </c>
    </row>
    <row r="457" spans="1:1" x14ac:dyDescent="0.35">
      <c r="A457" s="2">
        <v>46293</v>
      </c>
    </row>
    <row r="458" spans="1:1" x14ac:dyDescent="0.35">
      <c r="A458" s="2">
        <v>46294</v>
      </c>
    </row>
    <row r="459" spans="1:1" x14ac:dyDescent="0.35">
      <c r="A459" s="2">
        <v>46295</v>
      </c>
    </row>
    <row r="460" spans="1:1" x14ac:dyDescent="0.35">
      <c r="A460" s="2">
        <v>46296</v>
      </c>
    </row>
    <row r="461" spans="1:1" x14ac:dyDescent="0.35">
      <c r="A461" s="2">
        <v>46297</v>
      </c>
    </row>
    <row r="462" spans="1:1" x14ac:dyDescent="0.35">
      <c r="A462" s="2">
        <v>46298</v>
      </c>
    </row>
    <row r="463" spans="1:1" x14ac:dyDescent="0.35">
      <c r="A463" s="2">
        <v>46299</v>
      </c>
    </row>
    <row r="464" spans="1:1" x14ac:dyDescent="0.35">
      <c r="A464" s="2">
        <v>46300</v>
      </c>
    </row>
    <row r="465" spans="1:1" x14ac:dyDescent="0.35">
      <c r="A465" s="2">
        <v>46301</v>
      </c>
    </row>
    <row r="466" spans="1:1" x14ac:dyDescent="0.35">
      <c r="A466" s="2">
        <v>46302</v>
      </c>
    </row>
    <row r="467" spans="1:1" x14ac:dyDescent="0.35">
      <c r="A467" s="2">
        <v>46303</v>
      </c>
    </row>
    <row r="468" spans="1:1" x14ac:dyDescent="0.35">
      <c r="A468" s="2">
        <v>46304</v>
      </c>
    </row>
    <row r="469" spans="1:1" x14ac:dyDescent="0.35">
      <c r="A469" s="2">
        <v>46305</v>
      </c>
    </row>
    <row r="470" spans="1:1" x14ac:dyDescent="0.35">
      <c r="A470" s="2">
        <v>46306</v>
      </c>
    </row>
    <row r="471" spans="1:1" x14ac:dyDescent="0.35">
      <c r="A471" s="2">
        <v>46307</v>
      </c>
    </row>
    <row r="472" spans="1:1" x14ac:dyDescent="0.35">
      <c r="A472" s="2">
        <v>46308</v>
      </c>
    </row>
    <row r="473" spans="1:1" x14ac:dyDescent="0.35">
      <c r="A473" s="2">
        <v>46309</v>
      </c>
    </row>
    <row r="474" spans="1:1" x14ac:dyDescent="0.35">
      <c r="A474" s="2">
        <v>46310</v>
      </c>
    </row>
    <row r="475" spans="1:1" x14ac:dyDescent="0.35">
      <c r="A475" s="2">
        <v>46311</v>
      </c>
    </row>
    <row r="476" spans="1:1" x14ac:dyDescent="0.35">
      <c r="A476" s="2">
        <v>46312</v>
      </c>
    </row>
    <row r="477" spans="1:1" x14ac:dyDescent="0.35">
      <c r="A477" s="2">
        <v>46313</v>
      </c>
    </row>
    <row r="478" spans="1:1" x14ac:dyDescent="0.35">
      <c r="A478" s="2">
        <v>46314</v>
      </c>
    </row>
    <row r="479" spans="1:1" x14ac:dyDescent="0.35">
      <c r="A479" s="2">
        <v>46315</v>
      </c>
    </row>
    <row r="480" spans="1:1" x14ac:dyDescent="0.35">
      <c r="A480" s="2">
        <v>46316</v>
      </c>
    </row>
    <row r="481" spans="1:1" x14ac:dyDescent="0.35">
      <c r="A481" s="2">
        <v>46317</v>
      </c>
    </row>
    <row r="482" spans="1:1" x14ac:dyDescent="0.35">
      <c r="A482" s="2">
        <v>46318</v>
      </c>
    </row>
    <row r="483" spans="1:1" x14ac:dyDescent="0.35">
      <c r="A483" s="2">
        <v>46319</v>
      </c>
    </row>
    <row r="484" spans="1:1" x14ac:dyDescent="0.35">
      <c r="A484" s="2">
        <v>46320</v>
      </c>
    </row>
    <row r="485" spans="1:1" x14ac:dyDescent="0.35">
      <c r="A485" s="2">
        <v>46321</v>
      </c>
    </row>
    <row r="486" spans="1:1" x14ac:dyDescent="0.35">
      <c r="A486" s="2">
        <v>46322</v>
      </c>
    </row>
    <row r="487" spans="1:1" x14ac:dyDescent="0.35">
      <c r="A487" s="2">
        <v>46323</v>
      </c>
    </row>
    <row r="488" spans="1:1" x14ac:dyDescent="0.35">
      <c r="A488" s="2">
        <v>46324</v>
      </c>
    </row>
    <row r="489" spans="1:1" x14ac:dyDescent="0.35">
      <c r="A489" s="2">
        <v>46325</v>
      </c>
    </row>
    <row r="490" spans="1:1" x14ac:dyDescent="0.35">
      <c r="A490" s="2">
        <v>46326</v>
      </c>
    </row>
    <row r="491" spans="1:1" x14ac:dyDescent="0.35">
      <c r="A491" s="2">
        <v>46327</v>
      </c>
    </row>
    <row r="492" spans="1:1" x14ac:dyDescent="0.35">
      <c r="A492" s="2">
        <v>46328</v>
      </c>
    </row>
    <row r="493" spans="1:1" x14ac:dyDescent="0.35">
      <c r="A493" s="2">
        <v>46329</v>
      </c>
    </row>
    <row r="494" spans="1:1" x14ac:dyDescent="0.35">
      <c r="A494" s="2">
        <v>46330</v>
      </c>
    </row>
    <row r="495" spans="1:1" x14ac:dyDescent="0.35">
      <c r="A495" s="2">
        <v>46331</v>
      </c>
    </row>
    <row r="496" spans="1:1" x14ac:dyDescent="0.35">
      <c r="A496" s="2">
        <v>46332</v>
      </c>
    </row>
    <row r="497" spans="1:1" x14ac:dyDescent="0.35">
      <c r="A497" s="2">
        <v>46333</v>
      </c>
    </row>
    <row r="498" spans="1:1" x14ac:dyDescent="0.35">
      <c r="A498" s="2">
        <v>46334</v>
      </c>
    </row>
    <row r="499" spans="1:1" x14ac:dyDescent="0.35">
      <c r="A499" s="2">
        <v>46335</v>
      </c>
    </row>
    <row r="500" spans="1:1" x14ac:dyDescent="0.35">
      <c r="A500" s="2">
        <v>46336</v>
      </c>
    </row>
    <row r="501" spans="1:1" x14ac:dyDescent="0.35">
      <c r="A501" s="2">
        <v>46337</v>
      </c>
    </row>
    <row r="502" spans="1:1" x14ac:dyDescent="0.35">
      <c r="A502" s="2">
        <v>46338</v>
      </c>
    </row>
    <row r="503" spans="1:1" x14ac:dyDescent="0.35">
      <c r="A503" s="2">
        <v>46339</v>
      </c>
    </row>
    <row r="504" spans="1:1" x14ac:dyDescent="0.35">
      <c r="A504" s="2">
        <v>46340</v>
      </c>
    </row>
    <row r="505" spans="1:1" x14ac:dyDescent="0.35">
      <c r="A505" s="2">
        <v>46341</v>
      </c>
    </row>
    <row r="506" spans="1:1" x14ac:dyDescent="0.35">
      <c r="A506" s="2">
        <v>46342</v>
      </c>
    </row>
    <row r="507" spans="1:1" x14ac:dyDescent="0.35">
      <c r="A507" s="2">
        <v>46343</v>
      </c>
    </row>
    <row r="508" spans="1:1" x14ac:dyDescent="0.35">
      <c r="A508" s="2">
        <v>46344</v>
      </c>
    </row>
    <row r="509" spans="1:1" x14ac:dyDescent="0.35">
      <c r="A509" s="2">
        <v>46345</v>
      </c>
    </row>
    <row r="510" spans="1:1" x14ac:dyDescent="0.35">
      <c r="A510" s="2">
        <v>46346</v>
      </c>
    </row>
    <row r="511" spans="1:1" x14ac:dyDescent="0.35">
      <c r="A511" s="2">
        <v>46347</v>
      </c>
    </row>
    <row r="512" spans="1:1" x14ac:dyDescent="0.35">
      <c r="A512" s="2">
        <v>46348</v>
      </c>
    </row>
    <row r="513" spans="1:1" x14ac:dyDescent="0.35">
      <c r="A513" s="2">
        <v>46349</v>
      </c>
    </row>
    <row r="514" spans="1:1" x14ac:dyDescent="0.35">
      <c r="A514" s="2">
        <v>46350</v>
      </c>
    </row>
    <row r="515" spans="1:1" x14ac:dyDescent="0.35">
      <c r="A515" s="2">
        <v>46351</v>
      </c>
    </row>
    <row r="516" spans="1:1" x14ac:dyDescent="0.35">
      <c r="A516" s="2">
        <v>46352</v>
      </c>
    </row>
    <row r="517" spans="1:1" x14ac:dyDescent="0.35">
      <c r="A517" s="2">
        <v>46353</v>
      </c>
    </row>
    <row r="518" spans="1:1" x14ac:dyDescent="0.35">
      <c r="A518" s="2">
        <v>46354</v>
      </c>
    </row>
    <row r="519" spans="1:1" x14ac:dyDescent="0.35">
      <c r="A519" s="2">
        <v>46355</v>
      </c>
    </row>
    <row r="520" spans="1:1" x14ac:dyDescent="0.35">
      <c r="A520" s="2">
        <v>46356</v>
      </c>
    </row>
    <row r="521" spans="1:1" x14ac:dyDescent="0.35">
      <c r="A521" s="2">
        <v>46357</v>
      </c>
    </row>
    <row r="522" spans="1:1" x14ac:dyDescent="0.35">
      <c r="A522" s="2">
        <v>46358</v>
      </c>
    </row>
    <row r="523" spans="1:1" x14ac:dyDescent="0.35">
      <c r="A523" s="2">
        <v>46359</v>
      </c>
    </row>
    <row r="524" spans="1:1" x14ac:dyDescent="0.35">
      <c r="A524" s="2">
        <v>46360</v>
      </c>
    </row>
    <row r="525" spans="1:1" x14ac:dyDescent="0.35">
      <c r="A525" s="2">
        <v>46361</v>
      </c>
    </row>
    <row r="526" spans="1:1" x14ac:dyDescent="0.35">
      <c r="A526" s="2">
        <v>46362</v>
      </c>
    </row>
    <row r="527" spans="1:1" x14ac:dyDescent="0.35">
      <c r="A527" s="2">
        <v>46363</v>
      </c>
    </row>
    <row r="528" spans="1:1" x14ac:dyDescent="0.35">
      <c r="A528" s="2">
        <v>46364</v>
      </c>
    </row>
    <row r="529" spans="1:1" x14ac:dyDescent="0.35">
      <c r="A529" s="2">
        <v>46365</v>
      </c>
    </row>
    <row r="530" spans="1:1" x14ac:dyDescent="0.35">
      <c r="A530" s="2">
        <v>46366</v>
      </c>
    </row>
    <row r="531" spans="1:1" x14ac:dyDescent="0.35">
      <c r="A531" s="2">
        <v>46367</v>
      </c>
    </row>
    <row r="532" spans="1:1" x14ac:dyDescent="0.35">
      <c r="A532" s="2">
        <v>46368</v>
      </c>
    </row>
    <row r="533" spans="1:1" x14ac:dyDescent="0.35">
      <c r="A533" s="2">
        <v>46369</v>
      </c>
    </row>
    <row r="534" spans="1:1" x14ac:dyDescent="0.35">
      <c r="A534" s="2">
        <v>46370</v>
      </c>
    </row>
    <row r="535" spans="1:1" x14ac:dyDescent="0.35">
      <c r="A535" s="2">
        <v>46371</v>
      </c>
    </row>
    <row r="536" spans="1:1" x14ac:dyDescent="0.35">
      <c r="A536" s="2">
        <v>46372</v>
      </c>
    </row>
    <row r="537" spans="1:1" x14ac:dyDescent="0.35">
      <c r="A537" s="2">
        <v>46373</v>
      </c>
    </row>
    <row r="538" spans="1:1" x14ac:dyDescent="0.35">
      <c r="A538" s="2">
        <v>46374</v>
      </c>
    </row>
    <row r="539" spans="1:1" x14ac:dyDescent="0.35">
      <c r="A539" s="2">
        <v>46375</v>
      </c>
    </row>
    <row r="540" spans="1:1" x14ac:dyDescent="0.35">
      <c r="A540" s="2">
        <v>46376</v>
      </c>
    </row>
    <row r="541" spans="1:1" x14ac:dyDescent="0.35">
      <c r="A541" s="2">
        <v>46377</v>
      </c>
    </row>
    <row r="542" spans="1:1" x14ac:dyDescent="0.35">
      <c r="A542" s="2">
        <v>46378</v>
      </c>
    </row>
    <row r="543" spans="1:1" x14ac:dyDescent="0.35">
      <c r="A543" s="2">
        <v>46379</v>
      </c>
    </row>
    <row r="544" spans="1:1" x14ac:dyDescent="0.35">
      <c r="A544" s="2">
        <v>46380</v>
      </c>
    </row>
    <row r="545" spans="1:1" x14ac:dyDescent="0.35">
      <c r="A545" s="2">
        <v>46381</v>
      </c>
    </row>
    <row r="546" spans="1:1" x14ac:dyDescent="0.35">
      <c r="A546" s="2">
        <v>46382</v>
      </c>
    </row>
    <row r="547" spans="1:1" x14ac:dyDescent="0.35">
      <c r="A547" s="2">
        <v>46383</v>
      </c>
    </row>
    <row r="548" spans="1:1" x14ac:dyDescent="0.35">
      <c r="A548" s="2">
        <v>46384</v>
      </c>
    </row>
    <row r="549" spans="1:1" x14ac:dyDescent="0.35">
      <c r="A549" s="2">
        <v>46385</v>
      </c>
    </row>
    <row r="550" spans="1:1" x14ac:dyDescent="0.35">
      <c r="A550" s="2">
        <v>46386</v>
      </c>
    </row>
    <row r="551" spans="1:1" x14ac:dyDescent="0.35">
      <c r="A551" s="2">
        <v>46387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C40A-282A-41FD-890D-79E246D64A0F}">
  <dimension ref="A1:J550"/>
  <sheetViews>
    <sheetView workbookViewId="0"/>
  </sheetViews>
  <sheetFormatPr defaultRowHeight="14.5" x14ac:dyDescent="0.35"/>
  <cols>
    <col min="1" max="1" width="9.453125" customWidth="1"/>
    <col min="2" max="2" width="11.54296875" customWidth="1"/>
    <col min="3" max="3" width="12.81640625" customWidth="1"/>
    <col min="4" max="4" width="11.1796875" customWidth="1"/>
    <col min="5" max="5" width="16.36328125" bestFit="1" customWidth="1"/>
    <col min="6" max="6" width="10" customWidth="1"/>
    <col min="7" max="7" width="13.81640625" customWidth="1"/>
    <col min="8" max="8" width="17" customWidth="1"/>
    <col min="9" max="9" width="16.81640625" customWidth="1"/>
    <col min="10" max="10" width="8.54296875" bestFit="1" customWidth="1"/>
  </cols>
  <sheetData>
    <row r="1" spans="1:10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677</v>
      </c>
      <c r="H1" t="s">
        <v>678</v>
      </c>
      <c r="I1" t="s">
        <v>25</v>
      </c>
      <c r="J1" t="s">
        <v>26</v>
      </c>
    </row>
    <row r="2" spans="1:10" x14ac:dyDescent="0.35">
      <c r="A2" t="s">
        <v>27</v>
      </c>
      <c r="B2" s="2">
        <v>45839</v>
      </c>
      <c r="C2" t="s">
        <v>28</v>
      </c>
      <c r="D2" t="s">
        <v>29</v>
      </c>
      <c r="E2" t="s">
        <v>30</v>
      </c>
      <c r="F2">
        <v>1</v>
      </c>
      <c r="G2">
        <v>540000</v>
      </c>
      <c r="H2">
        <v>540000</v>
      </c>
      <c r="I2" t="s">
        <v>31</v>
      </c>
      <c r="J2" t="s">
        <v>32</v>
      </c>
    </row>
    <row r="3" spans="1:10" x14ac:dyDescent="0.35">
      <c r="A3" t="s">
        <v>33</v>
      </c>
      <c r="B3" s="2">
        <v>45840</v>
      </c>
      <c r="C3" t="s">
        <v>34</v>
      </c>
      <c r="D3" t="s">
        <v>29</v>
      </c>
      <c r="E3" t="s">
        <v>35</v>
      </c>
      <c r="F3">
        <v>1</v>
      </c>
      <c r="G3">
        <v>280000</v>
      </c>
      <c r="H3">
        <v>280000</v>
      </c>
      <c r="I3" t="s">
        <v>36</v>
      </c>
      <c r="J3" t="s">
        <v>37</v>
      </c>
    </row>
    <row r="4" spans="1:10" x14ac:dyDescent="0.35">
      <c r="A4" t="s">
        <v>38</v>
      </c>
      <c r="B4" s="2">
        <v>45841</v>
      </c>
      <c r="C4" t="s">
        <v>39</v>
      </c>
      <c r="D4" t="s">
        <v>40</v>
      </c>
      <c r="E4" t="s">
        <v>41</v>
      </c>
      <c r="F4">
        <v>5</v>
      </c>
      <c r="G4">
        <v>28000</v>
      </c>
      <c r="H4">
        <v>140000</v>
      </c>
      <c r="I4" t="s">
        <v>36</v>
      </c>
      <c r="J4" t="s">
        <v>37</v>
      </c>
    </row>
    <row r="5" spans="1:10" x14ac:dyDescent="0.35">
      <c r="A5" t="s">
        <v>42</v>
      </c>
      <c r="B5" s="2">
        <v>45842</v>
      </c>
      <c r="C5" t="s">
        <v>43</v>
      </c>
      <c r="D5" t="s">
        <v>44</v>
      </c>
      <c r="E5" t="s">
        <v>45</v>
      </c>
      <c r="F5">
        <v>1</v>
      </c>
      <c r="G5">
        <v>120000</v>
      </c>
      <c r="H5">
        <v>120000</v>
      </c>
      <c r="I5" t="s">
        <v>31</v>
      </c>
      <c r="J5" t="s">
        <v>46</v>
      </c>
    </row>
    <row r="6" spans="1:10" x14ac:dyDescent="0.35">
      <c r="A6" t="s">
        <v>47</v>
      </c>
      <c r="B6" s="2">
        <v>45843</v>
      </c>
      <c r="C6" t="s">
        <v>48</v>
      </c>
      <c r="D6" t="s">
        <v>49</v>
      </c>
      <c r="E6" t="s">
        <v>50</v>
      </c>
      <c r="F6">
        <v>1</v>
      </c>
      <c r="G6">
        <v>95000</v>
      </c>
      <c r="H6">
        <v>95000</v>
      </c>
      <c r="I6" t="s">
        <v>51</v>
      </c>
      <c r="J6" t="s">
        <v>46</v>
      </c>
    </row>
    <row r="7" spans="1:10" x14ac:dyDescent="0.35">
      <c r="A7" t="s">
        <v>52</v>
      </c>
      <c r="B7" s="2">
        <v>45844</v>
      </c>
      <c r="C7" t="s">
        <v>53</v>
      </c>
      <c r="D7" t="s">
        <v>54</v>
      </c>
      <c r="E7" t="s">
        <v>55</v>
      </c>
      <c r="F7">
        <v>1</v>
      </c>
      <c r="G7">
        <v>540000</v>
      </c>
      <c r="H7">
        <v>540000</v>
      </c>
      <c r="I7" t="s">
        <v>36</v>
      </c>
      <c r="J7" t="s">
        <v>56</v>
      </c>
    </row>
    <row r="8" spans="1:10" x14ac:dyDescent="0.35">
      <c r="A8" t="s">
        <v>57</v>
      </c>
      <c r="B8" s="2">
        <v>45845</v>
      </c>
      <c r="C8" t="s">
        <v>39</v>
      </c>
      <c r="D8" t="s">
        <v>58</v>
      </c>
      <c r="E8" t="s">
        <v>59</v>
      </c>
      <c r="F8">
        <v>4</v>
      </c>
      <c r="G8">
        <v>365000</v>
      </c>
      <c r="H8">
        <v>1460000</v>
      </c>
      <c r="I8" t="s">
        <v>31</v>
      </c>
      <c r="J8" t="s">
        <v>60</v>
      </c>
    </row>
    <row r="9" spans="1:10" x14ac:dyDescent="0.35">
      <c r="A9" t="s">
        <v>61</v>
      </c>
      <c r="B9" s="2">
        <v>45846</v>
      </c>
      <c r="C9" t="s">
        <v>62</v>
      </c>
      <c r="D9" t="s">
        <v>63</v>
      </c>
      <c r="E9" t="s">
        <v>41</v>
      </c>
      <c r="F9">
        <v>4</v>
      </c>
      <c r="G9">
        <v>95000</v>
      </c>
      <c r="H9">
        <v>380000</v>
      </c>
      <c r="I9" t="s">
        <v>51</v>
      </c>
      <c r="J9" t="s">
        <v>46</v>
      </c>
    </row>
    <row r="10" spans="1:10" x14ac:dyDescent="0.35">
      <c r="A10" t="s">
        <v>64</v>
      </c>
      <c r="B10" s="2">
        <v>45847</v>
      </c>
      <c r="C10" t="s">
        <v>28</v>
      </c>
      <c r="D10" t="s">
        <v>65</v>
      </c>
      <c r="E10" t="s">
        <v>66</v>
      </c>
      <c r="F10">
        <v>3</v>
      </c>
      <c r="G10">
        <v>28000</v>
      </c>
      <c r="H10">
        <v>84000</v>
      </c>
      <c r="I10" t="s">
        <v>36</v>
      </c>
      <c r="J10" t="s">
        <v>46</v>
      </c>
    </row>
    <row r="11" spans="1:10" x14ac:dyDescent="0.35">
      <c r="A11" t="s">
        <v>67</v>
      </c>
      <c r="B11" s="2">
        <v>45848</v>
      </c>
      <c r="C11" t="s">
        <v>68</v>
      </c>
      <c r="D11" t="s">
        <v>69</v>
      </c>
      <c r="E11" t="s">
        <v>70</v>
      </c>
      <c r="F11">
        <v>2</v>
      </c>
      <c r="G11">
        <v>95000</v>
      </c>
      <c r="H11">
        <v>190000</v>
      </c>
      <c r="I11" t="s">
        <v>51</v>
      </c>
      <c r="J11" t="s">
        <v>46</v>
      </c>
    </row>
    <row r="12" spans="1:10" x14ac:dyDescent="0.35">
      <c r="A12" t="s">
        <v>71</v>
      </c>
      <c r="B12" s="2">
        <v>45849</v>
      </c>
      <c r="C12" t="s">
        <v>72</v>
      </c>
      <c r="D12" t="s">
        <v>73</v>
      </c>
      <c r="E12" t="s">
        <v>55</v>
      </c>
      <c r="F12">
        <v>5</v>
      </c>
      <c r="G12">
        <v>68000</v>
      </c>
      <c r="H12">
        <v>340000</v>
      </c>
      <c r="I12" t="s">
        <v>51</v>
      </c>
      <c r="J12" t="s">
        <v>56</v>
      </c>
    </row>
    <row r="13" spans="1:10" x14ac:dyDescent="0.35">
      <c r="A13" t="s">
        <v>74</v>
      </c>
      <c r="B13" s="2">
        <v>45850</v>
      </c>
      <c r="C13" t="s">
        <v>75</v>
      </c>
      <c r="D13" t="s">
        <v>76</v>
      </c>
      <c r="E13" t="s">
        <v>50</v>
      </c>
      <c r="F13">
        <v>5</v>
      </c>
      <c r="G13">
        <v>185000</v>
      </c>
      <c r="H13">
        <v>925000</v>
      </c>
      <c r="I13" t="s">
        <v>51</v>
      </c>
      <c r="J13" t="s">
        <v>60</v>
      </c>
    </row>
    <row r="14" spans="1:10" x14ac:dyDescent="0.35">
      <c r="A14" t="s">
        <v>77</v>
      </c>
      <c r="B14" s="2">
        <v>45851</v>
      </c>
      <c r="C14" t="s">
        <v>48</v>
      </c>
      <c r="D14" t="s">
        <v>78</v>
      </c>
      <c r="E14" t="s">
        <v>45</v>
      </c>
      <c r="F14">
        <v>5</v>
      </c>
      <c r="G14">
        <v>120000</v>
      </c>
      <c r="H14">
        <v>600000</v>
      </c>
      <c r="I14" t="s">
        <v>51</v>
      </c>
      <c r="J14" t="s">
        <v>32</v>
      </c>
    </row>
    <row r="15" spans="1:10" x14ac:dyDescent="0.35">
      <c r="A15" t="s">
        <v>79</v>
      </c>
      <c r="B15" s="2">
        <v>45852</v>
      </c>
      <c r="C15" t="s">
        <v>48</v>
      </c>
      <c r="D15" t="s">
        <v>80</v>
      </c>
      <c r="E15" t="s">
        <v>30</v>
      </c>
      <c r="F15">
        <v>3</v>
      </c>
      <c r="G15">
        <v>28000</v>
      </c>
      <c r="H15">
        <v>84000</v>
      </c>
      <c r="I15" t="s">
        <v>36</v>
      </c>
      <c r="J15" t="s">
        <v>32</v>
      </c>
    </row>
    <row r="16" spans="1:10" x14ac:dyDescent="0.35">
      <c r="A16" t="s">
        <v>81</v>
      </c>
      <c r="B16" s="2">
        <v>45853</v>
      </c>
      <c r="C16" t="s">
        <v>82</v>
      </c>
      <c r="D16" t="s">
        <v>83</v>
      </c>
      <c r="E16" t="s">
        <v>50</v>
      </c>
      <c r="F16">
        <v>4</v>
      </c>
      <c r="G16">
        <v>95000</v>
      </c>
      <c r="H16">
        <v>380000</v>
      </c>
      <c r="I16" t="s">
        <v>36</v>
      </c>
      <c r="J16" t="s">
        <v>84</v>
      </c>
    </row>
    <row r="17" spans="1:10" x14ac:dyDescent="0.35">
      <c r="A17" t="s">
        <v>85</v>
      </c>
      <c r="B17" s="2">
        <v>45854</v>
      </c>
      <c r="C17" t="s">
        <v>62</v>
      </c>
      <c r="D17" t="s">
        <v>86</v>
      </c>
      <c r="E17" t="s">
        <v>55</v>
      </c>
      <c r="F17">
        <v>3</v>
      </c>
      <c r="G17">
        <v>185000</v>
      </c>
      <c r="H17">
        <v>555000</v>
      </c>
      <c r="I17" t="s">
        <v>36</v>
      </c>
      <c r="J17" t="s">
        <v>84</v>
      </c>
    </row>
    <row r="18" spans="1:10" x14ac:dyDescent="0.35">
      <c r="A18" t="s">
        <v>87</v>
      </c>
      <c r="B18" s="2">
        <v>45855</v>
      </c>
      <c r="C18" t="s">
        <v>88</v>
      </c>
      <c r="D18" t="s">
        <v>65</v>
      </c>
      <c r="E18" t="s">
        <v>50</v>
      </c>
      <c r="F18">
        <v>5</v>
      </c>
      <c r="G18">
        <v>185000</v>
      </c>
      <c r="H18">
        <v>925000</v>
      </c>
      <c r="I18" t="s">
        <v>31</v>
      </c>
      <c r="J18" t="s">
        <v>46</v>
      </c>
    </row>
    <row r="19" spans="1:10" x14ac:dyDescent="0.35">
      <c r="A19" t="s">
        <v>89</v>
      </c>
      <c r="B19" s="2">
        <v>45856</v>
      </c>
      <c r="C19" t="s">
        <v>53</v>
      </c>
      <c r="D19" t="s">
        <v>90</v>
      </c>
      <c r="E19" t="s">
        <v>55</v>
      </c>
      <c r="F19">
        <v>2</v>
      </c>
      <c r="G19">
        <v>95000</v>
      </c>
      <c r="H19">
        <v>190000</v>
      </c>
      <c r="I19" t="s">
        <v>36</v>
      </c>
      <c r="J19" t="s">
        <v>84</v>
      </c>
    </row>
    <row r="20" spans="1:10" x14ac:dyDescent="0.35">
      <c r="A20" t="s">
        <v>91</v>
      </c>
      <c r="B20" s="2">
        <v>45857</v>
      </c>
      <c r="C20" t="s">
        <v>82</v>
      </c>
      <c r="D20" t="s">
        <v>92</v>
      </c>
      <c r="E20" t="s">
        <v>55</v>
      </c>
      <c r="F20">
        <v>1</v>
      </c>
      <c r="G20">
        <v>365000</v>
      </c>
      <c r="H20">
        <v>365000</v>
      </c>
      <c r="I20" t="s">
        <v>51</v>
      </c>
      <c r="J20" t="s">
        <v>60</v>
      </c>
    </row>
    <row r="21" spans="1:10" x14ac:dyDescent="0.35">
      <c r="A21" t="s">
        <v>93</v>
      </c>
      <c r="B21" s="2">
        <v>45858</v>
      </c>
      <c r="C21" t="s">
        <v>94</v>
      </c>
      <c r="D21" t="s">
        <v>90</v>
      </c>
      <c r="E21" t="s">
        <v>95</v>
      </c>
      <c r="F21">
        <v>4</v>
      </c>
      <c r="G21">
        <v>68000</v>
      </c>
      <c r="H21">
        <v>272000</v>
      </c>
      <c r="I21" t="s">
        <v>36</v>
      </c>
      <c r="J21" t="s">
        <v>56</v>
      </c>
    </row>
    <row r="22" spans="1:10" x14ac:dyDescent="0.35">
      <c r="A22" t="s">
        <v>96</v>
      </c>
      <c r="B22" s="2">
        <v>45859</v>
      </c>
      <c r="C22" t="s">
        <v>97</v>
      </c>
      <c r="D22" t="s">
        <v>98</v>
      </c>
      <c r="E22" t="s">
        <v>59</v>
      </c>
      <c r="F22">
        <v>4</v>
      </c>
      <c r="G22">
        <v>45000</v>
      </c>
      <c r="H22">
        <v>180000</v>
      </c>
      <c r="I22" t="s">
        <v>51</v>
      </c>
      <c r="J22" t="s">
        <v>32</v>
      </c>
    </row>
    <row r="23" spans="1:10" x14ac:dyDescent="0.35">
      <c r="A23" t="s">
        <v>99</v>
      </c>
      <c r="B23" s="2">
        <v>45860</v>
      </c>
      <c r="C23" t="s">
        <v>62</v>
      </c>
      <c r="D23" t="s">
        <v>100</v>
      </c>
      <c r="E23" t="s">
        <v>70</v>
      </c>
      <c r="F23">
        <v>3</v>
      </c>
      <c r="G23">
        <v>68000</v>
      </c>
      <c r="H23">
        <v>204000</v>
      </c>
      <c r="I23" t="s">
        <v>31</v>
      </c>
      <c r="J23" t="s">
        <v>37</v>
      </c>
    </row>
    <row r="24" spans="1:10" x14ac:dyDescent="0.35">
      <c r="A24" t="s">
        <v>101</v>
      </c>
      <c r="B24" s="2">
        <v>45861</v>
      </c>
      <c r="C24" t="s">
        <v>102</v>
      </c>
      <c r="D24" t="s">
        <v>103</v>
      </c>
      <c r="E24" t="s">
        <v>95</v>
      </c>
      <c r="F24">
        <v>4</v>
      </c>
      <c r="G24">
        <v>95000</v>
      </c>
      <c r="H24">
        <v>380000</v>
      </c>
      <c r="I24" t="s">
        <v>51</v>
      </c>
      <c r="J24" t="s">
        <v>32</v>
      </c>
    </row>
    <row r="25" spans="1:10" x14ac:dyDescent="0.35">
      <c r="A25" t="s">
        <v>104</v>
      </c>
      <c r="B25" s="2">
        <v>45862</v>
      </c>
      <c r="C25" t="s">
        <v>82</v>
      </c>
      <c r="D25" t="s">
        <v>100</v>
      </c>
      <c r="E25" t="s">
        <v>45</v>
      </c>
      <c r="F25">
        <v>5</v>
      </c>
      <c r="G25">
        <v>120000</v>
      </c>
      <c r="H25">
        <v>600000</v>
      </c>
      <c r="I25" t="s">
        <v>51</v>
      </c>
      <c r="J25" t="s">
        <v>32</v>
      </c>
    </row>
    <row r="26" spans="1:10" x14ac:dyDescent="0.35">
      <c r="A26" t="s">
        <v>105</v>
      </c>
      <c r="B26" s="2">
        <v>45863</v>
      </c>
      <c r="C26" t="s">
        <v>106</v>
      </c>
      <c r="D26" t="s">
        <v>107</v>
      </c>
      <c r="E26" t="s">
        <v>95</v>
      </c>
      <c r="F26">
        <v>5</v>
      </c>
      <c r="G26">
        <v>45000</v>
      </c>
      <c r="H26">
        <v>225000</v>
      </c>
      <c r="I26" t="s">
        <v>51</v>
      </c>
      <c r="J26" t="s">
        <v>60</v>
      </c>
    </row>
    <row r="27" spans="1:10" x14ac:dyDescent="0.35">
      <c r="A27" t="s">
        <v>108</v>
      </c>
      <c r="B27" s="2">
        <v>45864</v>
      </c>
      <c r="C27" t="s">
        <v>109</v>
      </c>
      <c r="D27" t="s">
        <v>110</v>
      </c>
      <c r="E27" t="s">
        <v>35</v>
      </c>
      <c r="F27">
        <v>3</v>
      </c>
      <c r="G27">
        <v>28000</v>
      </c>
      <c r="H27">
        <v>84000</v>
      </c>
      <c r="I27" t="s">
        <v>31</v>
      </c>
      <c r="J27" t="s">
        <v>84</v>
      </c>
    </row>
    <row r="28" spans="1:10" x14ac:dyDescent="0.35">
      <c r="A28" t="s">
        <v>111</v>
      </c>
      <c r="B28" s="2">
        <v>45865</v>
      </c>
      <c r="C28" t="s">
        <v>112</v>
      </c>
      <c r="D28" t="s">
        <v>113</v>
      </c>
      <c r="E28" t="s">
        <v>35</v>
      </c>
      <c r="F28">
        <v>5</v>
      </c>
      <c r="G28">
        <v>68000</v>
      </c>
      <c r="H28">
        <v>340000</v>
      </c>
      <c r="I28" t="s">
        <v>36</v>
      </c>
      <c r="J28" t="s">
        <v>37</v>
      </c>
    </row>
    <row r="29" spans="1:10" x14ac:dyDescent="0.35">
      <c r="A29" t="s">
        <v>114</v>
      </c>
      <c r="B29" s="2">
        <v>45866</v>
      </c>
      <c r="C29" t="s">
        <v>102</v>
      </c>
      <c r="D29" t="s">
        <v>115</v>
      </c>
      <c r="E29" t="s">
        <v>70</v>
      </c>
      <c r="F29">
        <v>2</v>
      </c>
      <c r="G29">
        <v>95000</v>
      </c>
      <c r="H29">
        <v>190000</v>
      </c>
      <c r="I29" t="s">
        <v>36</v>
      </c>
      <c r="J29" t="s">
        <v>60</v>
      </c>
    </row>
    <row r="30" spans="1:10" x14ac:dyDescent="0.35">
      <c r="A30" t="s">
        <v>116</v>
      </c>
      <c r="B30" s="2">
        <v>45867</v>
      </c>
      <c r="C30" t="s">
        <v>117</v>
      </c>
      <c r="D30" t="s">
        <v>115</v>
      </c>
      <c r="E30" t="s">
        <v>50</v>
      </c>
      <c r="F30">
        <v>3</v>
      </c>
      <c r="G30">
        <v>68000</v>
      </c>
      <c r="H30">
        <v>204000</v>
      </c>
      <c r="I30" t="s">
        <v>31</v>
      </c>
      <c r="J30" t="s">
        <v>46</v>
      </c>
    </row>
    <row r="31" spans="1:10" x14ac:dyDescent="0.35">
      <c r="A31" t="s">
        <v>118</v>
      </c>
      <c r="B31" s="2">
        <v>45868</v>
      </c>
      <c r="C31" t="s">
        <v>62</v>
      </c>
      <c r="D31" t="s">
        <v>69</v>
      </c>
      <c r="E31" t="s">
        <v>59</v>
      </c>
      <c r="F31">
        <v>2</v>
      </c>
      <c r="G31">
        <v>45000</v>
      </c>
      <c r="H31">
        <v>90000</v>
      </c>
      <c r="I31" t="s">
        <v>51</v>
      </c>
      <c r="J31" t="s">
        <v>56</v>
      </c>
    </row>
    <row r="32" spans="1:10" x14ac:dyDescent="0.35">
      <c r="A32" t="s">
        <v>119</v>
      </c>
      <c r="B32" s="2">
        <v>45869</v>
      </c>
      <c r="C32" t="s">
        <v>120</v>
      </c>
      <c r="D32" t="s">
        <v>121</v>
      </c>
      <c r="E32" t="s">
        <v>70</v>
      </c>
      <c r="F32">
        <v>1</v>
      </c>
      <c r="G32">
        <v>280000</v>
      </c>
      <c r="H32">
        <v>280000</v>
      </c>
      <c r="I32" t="s">
        <v>36</v>
      </c>
      <c r="J32" t="s">
        <v>122</v>
      </c>
    </row>
    <row r="33" spans="1:10" x14ac:dyDescent="0.35">
      <c r="A33" t="s">
        <v>123</v>
      </c>
      <c r="B33" s="2">
        <v>45870</v>
      </c>
      <c r="C33" t="s">
        <v>106</v>
      </c>
      <c r="D33" t="s">
        <v>63</v>
      </c>
      <c r="E33" t="s">
        <v>55</v>
      </c>
      <c r="F33">
        <v>2</v>
      </c>
      <c r="G33">
        <v>540000</v>
      </c>
      <c r="H33">
        <v>1080000</v>
      </c>
      <c r="I33" t="s">
        <v>31</v>
      </c>
      <c r="J33" t="s">
        <v>32</v>
      </c>
    </row>
    <row r="34" spans="1:10" x14ac:dyDescent="0.35">
      <c r="A34" t="s">
        <v>124</v>
      </c>
      <c r="B34" s="2">
        <v>45871</v>
      </c>
      <c r="C34" t="s">
        <v>68</v>
      </c>
      <c r="D34" t="s">
        <v>125</v>
      </c>
      <c r="E34" t="s">
        <v>66</v>
      </c>
      <c r="F34">
        <v>1</v>
      </c>
      <c r="G34">
        <v>68000</v>
      </c>
      <c r="H34">
        <v>68000</v>
      </c>
      <c r="I34" t="s">
        <v>36</v>
      </c>
      <c r="J34" t="s">
        <v>122</v>
      </c>
    </row>
    <row r="35" spans="1:10" x14ac:dyDescent="0.35">
      <c r="A35" t="s">
        <v>126</v>
      </c>
      <c r="B35" s="2">
        <v>45872</v>
      </c>
      <c r="C35" t="s">
        <v>97</v>
      </c>
      <c r="D35" t="s">
        <v>127</v>
      </c>
      <c r="E35" t="s">
        <v>59</v>
      </c>
      <c r="F35">
        <v>1</v>
      </c>
      <c r="G35">
        <v>28000</v>
      </c>
      <c r="H35">
        <v>28000</v>
      </c>
      <c r="I35" t="s">
        <v>31</v>
      </c>
      <c r="J35" t="s">
        <v>56</v>
      </c>
    </row>
    <row r="36" spans="1:10" x14ac:dyDescent="0.35">
      <c r="A36" t="s">
        <v>128</v>
      </c>
      <c r="B36" s="2">
        <v>45873</v>
      </c>
      <c r="C36" t="s">
        <v>39</v>
      </c>
      <c r="D36" t="s">
        <v>76</v>
      </c>
      <c r="E36" t="s">
        <v>59</v>
      </c>
      <c r="F36">
        <v>2</v>
      </c>
      <c r="G36">
        <v>28000</v>
      </c>
      <c r="H36">
        <v>56000</v>
      </c>
      <c r="I36" t="s">
        <v>51</v>
      </c>
      <c r="J36" t="s">
        <v>56</v>
      </c>
    </row>
    <row r="37" spans="1:10" x14ac:dyDescent="0.35">
      <c r="A37" t="s">
        <v>129</v>
      </c>
      <c r="B37" s="2">
        <v>45874</v>
      </c>
      <c r="C37" t="s">
        <v>106</v>
      </c>
      <c r="D37" t="s">
        <v>58</v>
      </c>
      <c r="E37" t="s">
        <v>55</v>
      </c>
      <c r="F37">
        <v>3</v>
      </c>
      <c r="G37">
        <v>18000</v>
      </c>
      <c r="H37">
        <v>54000</v>
      </c>
      <c r="I37" t="s">
        <v>36</v>
      </c>
      <c r="J37" t="s">
        <v>60</v>
      </c>
    </row>
    <row r="38" spans="1:10" x14ac:dyDescent="0.35">
      <c r="A38" t="s">
        <v>130</v>
      </c>
      <c r="B38" s="2">
        <v>45875</v>
      </c>
      <c r="C38" t="s">
        <v>131</v>
      </c>
      <c r="D38" t="s">
        <v>115</v>
      </c>
      <c r="E38" t="s">
        <v>55</v>
      </c>
      <c r="F38">
        <v>5</v>
      </c>
      <c r="G38">
        <v>68000</v>
      </c>
      <c r="H38">
        <v>340000</v>
      </c>
      <c r="I38" t="s">
        <v>31</v>
      </c>
      <c r="J38" t="s">
        <v>60</v>
      </c>
    </row>
    <row r="39" spans="1:10" x14ac:dyDescent="0.35">
      <c r="A39" t="s">
        <v>132</v>
      </c>
      <c r="B39" s="2">
        <v>45876</v>
      </c>
      <c r="C39" t="s">
        <v>133</v>
      </c>
      <c r="D39" t="s">
        <v>78</v>
      </c>
      <c r="E39" t="s">
        <v>30</v>
      </c>
      <c r="F39">
        <v>5</v>
      </c>
      <c r="G39">
        <v>540000</v>
      </c>
      <c r="H39">
        <v>2700000</v>
      </c>
      <c r="I39" t="s">
        <v>36</v>
      </c>
      <c r="J39" t="s">
        <v>60</v>
      </c>
    </row>
    <row r="40" spans="1:10" x14ac:dyDescent="0.35">
      <c r="A40" t="s">
        <v>134</v>
      </c>
      <c r="B40" s="2">
        <v>45877</v>
      </c>
      <c r="C40" t="s">
        <v>135</v>
      </c>
      <c r="D40" t="s">
        <v>44</v>
      </c>
      <c r="E40" t="s">
        <v>70</v>
      </c>
      <c r="F40">
        <v>1</v>
      </c>
      <c r="G40">
        <v>365000</v>
      </c>
      <c r="H40">
        <v>365000</v>
      </c>
      <c r="I40" t="s">
        <v>36</v>
      </c>
      <c r="J40" t="s">
        <v>122</v>
      </c>
    </row>
    <row r="41" spans="1:10" x14ac:dyDescent="0.35">
      <c r="A41" t="s">
        <v>136</v>
      </c>
      <c r="B41" s="2">
        <v>45878</v>
      </c>
      <c r="C41" t="s">
        <v>135</v>
      </c>
      <c r="D41" t="s">
        <v>40</v>
      </c>
      <c r="E41" t="s">
        <v>55</v>
      </c>
      <c r="F41">
        <v>1</v>
      </c>
      <c r="G41">
        <v>185000</v>
      </c>
      <c r="H41">
        <v>185000</v>
      </c>
      <c r="I41" t="s">
        <v>36</v>
      </c>
      <c r="J41" t="s">
        <v>60</v>
      </c>
    </row>
    <row r="42" spans="1:10" x14ac:dyDescent="0.35">
      <c r="A42" t="s">
        <v>137</v>
      </c>
      <c r="B42" s="2">
        <v>45879</v>
      </c>
      <c r="C42" t="s">
        <v>138</v>
      </c>
      <c r="D42" t="s">
        <v>139</v>
      </c>
      <c r="E42" t="s">
        <v>35</v>
      </c>
      <c r="F42">
        <v>3</v>
      </c>
      <c r="G42">
        <v>540000</v>
      </c>
      <c r="H42">
        <v>1620000</v>
      </c>
      <c r="I42" t="s">
        <v>36</v>
      </c>
      <c r="J42" t="s">
        <v>56</v>
      </c>
    </row>
    <row r="43" spans="1:10" x14ac:dyDescent="0.35">
      <c r="A43" t="s">
        <v>140</v>
      </c>
      <c r="B43" s="2">
        <v>45880</v>
      </c>
      <c r="C43" t="s">
        <v>117</v>
      </c>
      <c r="D43" t="s">
        <v>141</v>
      </c>
      <c r="E43" t="s">
        <v>45</v>
      </c>
      <c r="F43">
        <v>4</v>
      </c>
      <c r="G43">
        <v>185000</v>
      </c>
      <c r="H43">
        <v>740000</v>
      </c>
      <c r="I43" t="s">
        <v>31</v>
      </c>
      <c r="J43" t="s">
        <v>46</v>
      </c>
    </row>
    <row r="44" spans="1:10" x14ac:dyDescent="0.35">
      <c r="A44" t="s">
        <v>142</v>
      </c>
      <c r="B44" s="2">
        <v>45881</v>
      </c>
      <c r="C44" t="s">
        <v>117</v>
      </c>
      <c r="D44" t="s">
        <v>143</v>
      </c>
      <c r="E44" t="s">
        <v>66</v>
      </c>
      <c r="F44">
        <v>2</v>
      </c>
      <c r="G44">
        <v>185000</v>
      </c>
      <c r="H44">
        <v>370000</v>
      </c>
      <c r="I44" t="s">
        <v>51</v>
      </c>
      <c r="J44" t="s">
        <v>60</v>
      </c>
    </row>
    <row r="45" spans="1:10" x14ac:dyDescent="0.35">
      <c r="A45" t="s">
        <v>144</v>
      </c>
      <c r="B45" s="2">
        <v>45882</v>
      </c>
      <c r="C45" t="s">
        <v>145</v>
      </c>
      <c r="D45" t="s">
        <v>113</v>
      </c>
      <c r="E45" t="s">
        <v>70</v>
      </c>
      <c r="F45">
        <v>1</v>
      </c>
      <c r="G45">
        <v>280000</v>
      </c>
      <c r="H45">
        <v>280000</v>
      </c>
      <c r="I45" t="s">
        <v>31</v>
      </c>
      <c r="J45" t="s">
        <v>146</v>
      </c>
    </row>
    <row r="46" spans="1:10" x14ac:dyDescent="0.35">
      <c r="A46" t="s">
        <v>147</v>
      </c>
      <c r="B46" s="2">
        <v>45883</v>
      </c>
      <c r="C46" t="s">
        <v>43</v>
      </c>
      <c r="D46" t="s">
        <v>100</v>
      </c>
      <c r="E46" t="s">
        <v>41</v>
      </c>
      <c r="F46">
        <v>5</v>
      </c>
      <c r="G46">
        <v>18000</v>
      </c>
      <c r="H46">
        <v>90000</v>
      </c>
      <c r="I46" t="s">
        <v>31</v>
      </c>
      <c r="J46" t="s">
        <v>84</v>
      </c>
    </row>
    <row r="47" spans="1:10" x14ac:dyDescent="0.35">
      <c r="A47" t="s">
        <v>148</v>
      </c>
      <c r="B47" s="2">
        <v>45884</v>
      </c>
      <c r="C47" t="s">
        <v>109</v>
      </c>
      <c r="D47" t="s">
        <v>78</v>
      </c>
      <c r="E47" t="s">
        <v>35</v>
      </c>
      <c r="F47">
        <v>3</v>
      </c>
      <c r="G47">
        <v>540000</v>
      </c>
      <c r="H47">
        <v>1620000</v>
      </c>
      <c r="I47" t="s">
        <v>31</v>
      </c>
      <c r="J47" t="s">
        <v>122</v>
      </c>
    </row>
    <row r="48" spans="1:10" x14ac:dyDescent="0.35">
      <c r="A48" t="s">
        <v>149</v>
      </c>
      <c r="B48" s="2">
        <v>45885</v>
      </c>
      <c r="C48" t="s">
        <v>109</v>
      </c>
      <c r="D48" t="s">
        <v>103</v>
      </c>
      <c r="E48" t="s">
        <v>50</v>
      </c>
      <c r="F48">
        <v>2</v>
      </c>
      <c r="G48">
        <v>540000</v>
      </c>
      <c r="H48">
        <v>1080000</v>
      </c>
      <c r="I48" t="s">
        <v>51</v>
      </c>
      <c r="J48" t="s">
        <v>146</v>
      </c>
    </row>
    <row r="49" spans="1:10" x14ac:dyDescent="0.35">
      <c r="A49" t="s">
        <v>150</v>
      </c>
      <c r="B49" s="2">
        <v>45886</v>
      </c>
      <c r="C49" t="s">
        <v>43</v>
      </c>
      <c r="D49" t="s">
        <v>139</v>
      </c>
      <c r="E49" t="s">
        <v>55</v>
      </c>
      <c r="F49">
        <v>3</v>
      </c>
      <c r="G49">
        <v>280000</v>
      </c>
      <c r="H49">
        <v>840000</v>
      </c>
      <c r="I49" t="s">
        <v>36</v>
      </c>
      <c r="J49" t="s">
        <v>60</v>
      </c>
    </row>
    <row r="50" spans="1:10" x14ac:dyDescent="0.35">
      <c r="A50" t="s">
        <v>151</v>
      </c>
      <c r="B50" s="2">
        <v>45887</v>
      </c>
      <c r="C50" t="s">
        <v>109</v>
      </c>
      <c r="D50" t="s">
        <v>141</v>
      </c>
      <c r="E50" t="s">
        <v>41</v>
      </c>
      <c r="F50">
        <v>2</v>
      </c>
      <c r="G50">
        <v>68000</v>
      </c>
      <c r="H50">
        <v>136000</v>
      </c>
      <c r="I50" t="s">
        <v>36</v>
      </c>
      <c r="J50" t="s">
        <v>56</v>
      </c>
    </row>
    <row r="51" spans="1:10" x14ac:dyDescent="0.35">
      <c r="A51" t="s">
        <v>152</v>
      </c>
      <c r="B51" s="2">
        <v>45888</v>
      </c>
      <c r="C51" t="s">
        <v>72</v>
      </c>
      <c r="D51" t="s">
        <v>153</v>
      </c>
      <c r="E51" t="s">
        <v>55</v>
      </c>
      <c r="F51">
        <v>2</v>
      </c>
      <c r="G51">
        <v>68000</v>
      </c>
      <c r="H51">
        <v>136000</v>
      </c>
      <c r="I51" t="s">
        <v>36</v>
      </c>
      <c r="J51" t="s">
        <v>46</v>
      </c>
    </row>
    <row r="52" spans="1:10" x14ac:dyDescent="0.35">
      <c r="A52" t="s">
        <v>154</v>
      </c>
      <c r="B52" s="2">
        <v>45889</v>
      </c>
      <c r="C52" t="s">
        <v>106</v>
      </c>
      <c r="D52" t="s">
        <v>98</v>
      </c>
      <c r="E52" t="s">
        <v>59</v>
      </c>
      <c r="F52">
        <v>1</v>
      </c>
      <c r="G52">
        <v>68000</v>
      </c>
      <c r="H52">
        <v>68000</v>
      </c>
      <c r="I52" t="s">
        <v>51</v>
      </c>
      <c r="J52" t="s">
        <v>32</v>
      </c>
    </row>
    <row r="53" spans="1:10" x14ac:dyDescent="0.35">
      <c r="A53" t="s">
        <v>155</v>
      </c>
      <c r="B53" s="2">
        <v>45890</v>
      </c>
      <c r="C53" t="s">
        <v>75</v>
      </c>
      <c r="D53" t="s">
        <v>40</v>
      </c>
      <c r="E53" t="s">
        <v>35</v>
      </c>
      <c r="F53">
        <v>3</v>
      </c>
      <c r="G53">
        <v>120000</v>
      </c>
      <c r="H53">
        <v>360000</v>
      </c>
      <c r="I53" t="s">
        <v>36</v>
      </c>
      <c r="J53" t="s">
        <v>37</v>
      </c>
    </row>
    <row r="54" spans="1:10" x14ac:dyDescent="0.35">
      <c r="A54" t="s">
        <v>156</v>
      </c>
      <c r="B54" s="2">
        <v>45891</v>
      </c>
      <c r="C54" t="s">
        <v>34</v>
      </c>
      <c r="D54" t="s">
        <v>69</v>
      </c>
      <c r="E54" t="s">
        <v>59</v>
      </c>
      <c r="F54">
        <v>3</v>
      </c>
      <c r="G54">
        <v>185000</v>
      </c>
      <c r="H54">
        <v>555000</v>
      </c>
      <c r="I54" t="s">
        <v>51</v>
      </c>
      <c r="J54" t="s">
        <v>84</v>
      </c>
    </row>
    <row r="55" spans="1:10" x14ac:dyDescent="0.35">
      <c r="A55" t="s">
        <v>157</v>
      </c>
      <c r="B55" s="2">
        <v>45892</v>
      </c>
      <c r="C55" t="s">
        <v>131</v>
      </c>
      <c r="D55" t="s">
        <v>158</v>
      </c>
      <c r="E55" t="s">
        <v>30</v>
      </c>
      <c r="F55">
        <v>5</v>
      </c>
      <c r="G55">
        <v>120000</v>
      </c>
      <c r="H55">
        <v>600000</v>
      </c>
      <c r="I55" t="s">
        <v>36</v>
      </c>
      <c r="J55" t="s">
        <v>37</v>
      </c>
    </row>
    <row r="56" spans="1:10" x14ac:dyDescent="0.35">
      <c r="A56" t="s">
        <v>159</v>
      </c>
      <c r="B56" s="2">
        <v>45893</v>
      </c>
      <c r="C56" t="s">
        <v>94</v>
      </c>
      <c r="D56" t="s">
        <v>65</v>
      </c>
      <c r="E56" t="s">
        <v>59</v>
      </c>
      <c r="F56">
        <v>5</v>
      </c>
      <c r="G56">
        <v>18000</v>
      </c>
      <c r="H56">
        <v>90000</v>
      </c>
      <c r="I56" t="s">
        <v>36</v>
      </c>
      <c r="J56" t="s">
        <v>60</v>
      </c>
    </row>
    <row r="57" spans="1:10" x14ac:dyDescent="0.35">
      <c r="A57" t="s">
        <v>160</v>
      </c>
      <c r="B57" s="2">
        <v>45894</v>
      </c>
      <c r="C57" t="s">
        <v>161</v>
      </c>
      <c r="D57" t="s">
        <v>162</v>
      </c>
      <c r="E57" t="s">
        <v>30</v>
      </c>
      <c r="F57">
        <v>1</v>
      </c>
      <c r="G57">
        <v>280000</v>
      </c>
      <c r="H57">
        <v>280000</v>
      </c>
      <c r="I57" t="s">
        <v>31</v>
      </c>
      <c r="J57" t="s">
        <v>84</v>
      </c>
    </row>
    <row r="58" spans="1:10" x14ac:dyDescent="0.35">
      <c r="A58" t="s">
        <v>163</v>
      </c>
      <c r="B58" s="2">
        <v>45895</v>
      </c>
      <c r="C58" t="s">
        <v>72</v>
      </c>
      <c r="D58" t="s">
        <v>40</v>
      </c>
      <c r="E58" t="s">
        <v>30</v>
      </c>
      <c r="F58">
        <v>1</v>
      </c>
      <c r="G58">
        <v>540000</v>
      </c>
      <c r="H58">
        <v>540000</v>
      </c>
      <c r="I58" t="s">
        <v>51</v>
      </c>
      <c r="J58" t="s">
        <v>84</v>
      </c>
    </row>
    <row r="59" spans="1:10" x14ac:dyDescent="0.35">
      <c r="A59" t="s">
        <v>164</v>
      </c>
      <c r="B59" s="2">
        <v>45896</v>
      </c>
      <c r="C59" t="s">
        <v>28</v>
      </c>
      <c r="D59" t="s">
        <v>113</v>
      </c>
      <c r="E59" t="s">
        <v>41</v>
      </c>
      <c r="F59">
        <v>4</v>
      </c>
      <c r="G59">
        <v>185000</v>
      </c>
      <c r="H59">
        <v>740000</v>
      </c>
      <c r="I59" t="s">
        <v>31</v>
      </c>
      <c r="J59" t="s">
        <v>46</v>
      </c>
    </row>
    <row r="60" spans="1:10" x14ac:dyDescent="0.35">
      <c r="A60" t="s">
        <v>165</v>
      </c>
      <c r="B60" s="2">
        <v>45897</v>
      </c>
      <c r="C60" t="s">
        <v>62</v>
      </c>
      <c r="D60" t="s">
        <v>78</v>
      </c>
      <c r="E60" t="s">
        <v>55</v>
      </c>
      <c r="F60">
        <v>5</v>
      </c>
      <c r="G60">
        <v>120000</v>
      </c>
      <c r="H60">
        <v>600000</v>
      </c>
      <c r="I60" t="s">
        <v>31</v>
      </c>
      <c r="J60" t="s">
        <v>84</v>
      </c>
    </row>
    <row r="61" spans="1:10" x14ac:dyDescent="0.35">
      <c r="A61" t="s">
        <v>166</v>
      </c>
      <c r="B61" s="2">
        <v>45898</v>
      </c>
      <c r="C61" t="s">
        <v>167</v>
      </c>
      <c r="D61" t="s">
        <v>100</v>
      </c>
      <c r="E61" t="s">
        <v>50</v>
      </c>
      <c r="F61">
        <v>2</v>
      </c>
      <c r="G61">
        <v>120000</v>
      </c>
      <c r="H61">
        <v>240000</v>
      </c>
      <c r="I61" t="s">
        <v>31</v>
      </c>
      <c r="J61" t="s">
        <v>122</v>
      </c>
    </row>
    <row r="62" spans="1:10" x14ac:dyDescent="0.35">
      <c r="A62" t="s">
        <v>168</v>
      </c>
      <c r="B62" s="2">
        <v>45899</v>
      </c>
      <c r="C62" t="s">
        <v>28</v>
      </c>
      <c r="D62" t="s">
        <v>100</v>
      </c>
      <c r="E62" t="s">
        <v>59</v>
      </c>
      <c r="F62">
        <v>3</v>
      </c>
      <c r="G62">
        <v>95000</v>
      </c>
      <c r="H62">
        <v>285000</v>
      </c>
      <c r="I62" t="s">
        <v>51</v>
      </c>
      <c r="J62" t="s">
        <v>146</v>
      </c>
    </row>
    <row r="63" spans="1:10" x14ac:dyDescent="0.35">
      <c r="A63" t="s">
        <v>169</v>
      </c>
      <c r="B63" s="2">
        <v>45900</v>
      </c>
      <c r="C63" t="s">
        <v>170</v>
      </c>
      <c r="D63" t="s">
        <v>125</v>
      </c>
      <c r="E63" t="s">
        <v>35</v>
      </c>
      <c r="F63">
        <v>1</v>
      </c>
      <c r="G63">
        <v>120000</v>
      </c>
      <c r="H63">
        <v>120000</v>
      </c>
      <c r="I63" t="s">
        <v>51</v>
      </c>
      <c r="J63" t="s">
        <v>146</v>
      </c>
    </row>
    <row r="64" spans="1:10" x14ac:dyDescent="0.35">
      <c r="A64" t="s">
        <v>171</v>
      </c>
      <c r="B64" s="2">
        <v>45901</v>
      </c>
      <c r="C64" t="s">
        <v>88</v>
      </c>
      <c r="D64" t="s">
        <v>172</v>
      </c>
      <c r="E64" t="s">
        <v>30</v>
      </c>
      <c r="F64">
        <v>3</v>
      </c>
      <c r="G64">
        <v>365000</v>
      </c>
      <c r="H64">
        <v>1095000</v>
      </c>
      <c r="I64" t="s">
        <v>36</v>
      </c>
      <c r="J64" t="s">
        <v>146</v>
      </c>
    </row>
    <row r="65" spans="1:10" x14ac:dyDescent="0.35">
      <c r="A65" t="s">
        <v>173</v>
      </c>
      <c r="B65" s="2">
        <v>45902</v>
      </c>
      <c r="C65" t="s">
        <v>131</v>
      </c>
      <c r="D65" t="s">
        <v>44</v>
      </c>
      <c r="E65" t="s">
        <v>55</v>
      </c>
      <c r="F65">
        <v>3</v>
      </c>
      <c r="G65">
        <v>540000</v>
      </c>
      <c r="H65">
        <v>1620000</v>
      </c>
      <c r="I65" t="s">
        <v>31</v>
      </c>
      <c r="J65" t="s">
        <v>122</v>
      </c>
    </row>
    <row r="66" spans="1:10" x14ac:dyDescent="0.35">
      <c r="A66" t="s">
        <v>174</v>
      </c>
      <c r="B66" s="2">
        <v>45903</v>
      </c>
      <c r="C66" t="s">
        <v>117</v>
      </c>
      <c r="D66" t="s">
        <v>175</v>
      </c>
      <c r="E66" t="s">
        <v>66</v>
      </c>
      <c r="F66">
        <v>4</v>
      </c>
      <c r="G66">
        <v>365000</v>
      </c>
      <c r="H66">
        <v>1460000</v>
      </c>
      <c r="I66" t="s">
        <v>36</v>
      </c>
      <c r="J66" t="s">
        <v>37</v>
      </c>
    </row>
    <row r="67" spans="1:10" x14ac:dyDescent="0.35">
      <c r="A67" t="s">
        <v>176</v>
      </c>
      <c r="B67" s="2">
        <v>45904</v>
      </c>
      <c r="C67" t="s">
        <v>177</v>
      </c>
      <c r="D67" t="s">
        <v>178</v>
      </c>
      <c r="E67" t="s">
        <v>70</v>
      </c>
      <c r="F67">
        <v>5</v>
      </c>
      <c r="G67">
        <v>540000</v>
      </c>
      <c r="H67">
        <v>2700000</v>
      </c>
      <c r="I67" t="s">
        <v>31</v>
      </c>
      <c r="J67" t="s">
        <v>46</v>
      </c>
    </row>
    <row r="68" spans="1:10" x14ac:dyDescent="0.35">
      <c r="A68" t="s">
        <v>179</v>
      </c>
      <c r="B68" s="2">
        <v>45905</v>
      </c>
      <c r="C68" t="s">
        <v>170</v>
      </c>
      <c r="D68" t="s">
        <v>65</v>
      </c>
      <c r="E68" t="s">
        <v>41</v>
      </c>
      <c r="F68">
        <v>1</v>
      </c>
      <c r="G68">
        <v>280000</v>
      </c>
      <c r="H68">
        <v>280000</v>
      </c>
      <c r="I68" t="s">
        <v>51</v>
      </c>
      <c r="J68" t="s">
        <v>84</v>
      </c>
    </row>
    <row r="69" spans="1:10" x14ac:dyDescent="0.35">
      <c r="A69" t="s">
        <v>180</v>
      </c>
      <c r="B69" s="2">
        <v>45906</v>
      </c>
      <c r="C69" t="s">
        <v>68</v>
      </c>
      <c r="D69" t="s">
        <v>103</v>
      </c>
      <c r="E69" t="s">
        <v>50</v>
      </c>
      <c r="F69">
        <v>3</v>
      </c>
      <c r="G69">
        <v>540000</v>
      </c>
      <c r="H69">
        <v>1620000</v>
      </c>
      <c r="I69" t="s">
        <v>51</v>
      </c>
      <c r="J69" t="s">
        <v>122</v>
      </c>
    </row>
    <row r="70" spans="1:10" x14ac:dyDescent="0.35">
      <c r="A70" t="s">
        <v>181</v>
      </c>
      <c r="B70" s="2">
        <v>45907</v>
      </c>
      <c r="C70" t="s">
        <v>167</v>
      </c>
      <c r="D70" t="s">
        <v>107</v>
      </c>
      <c r="E70" t="s">
        <v>95</v>
      </c>
      <c r="F70">
        <v>1</v>
      </c>
      <c r="G70">
        <v>365000</v>
      </c>
      <c r="H70">
        <v>365000</v>
      </c>
      <c r="I70" t="s">
        <v>51</v>
      </c>
      <c r="J70" t="s">
        <v>146</v>
      </c>
    </row>
    <row r="71" spans="1:10" x14ac:dyDescent="0.35">
      <c r="A71" t="s">
        <v>182</v>
      </c>
      <c r="B71" s="2">
        <v>45908</v>
      </c>
      <c r="C71" t="s">
        <v>68</v>
      </c>
      <c r="D71" t="s">
        <v>183</v>
      </c>
      <c r="E71" t="s">
        <v>41</v>
      </c>
      <c r="F71">
        <v>2</v>
      </c>
      <c r="G71">
        <v>540000</v>
      </c>
      <c r="H71">
        <v>1080000</v>
      </c>
      <c r="I71" t="s">
        <v>31</v>
      </c>
      <c r="J71" t="s">
        <v>60</v>
      </c>
    </row>
    <row r="72" spans="1:10" x14ac:dyDescent="0.35">
      <c r="A72" t="s">
        <v>184</v>
      </c>
      <c r="B72" s="2">
        <v>45909</v>
      </c>
      <c r="C72" t="s">
        <v>62</v>
      </c>
      <c r="D72" t="s">
        <v>40</v>
      </c>
      <c r="E72" t="s">
        <v>66</v>
      </c>
      <c r="F72">
        <v>4</v>
      </c>
      <c r="G72">
        <v>280000</v>
      </c>
      <c r="H72">
        <v>1120000</v>
      </c>
      <c r="I72" t="s">
        <v>51</v>
      </c>
      <c r="J72" t="s">
        <v>32</v>
      </c>
    </row>
    <row r="73" spans="1:10" x14ac:dyDescent="0.35">
      <c r="A73" t="s">
        <v>185</v>
      </c>
      <c r="B73" s="2">
        <v>45910</v>
      </c>
      <c r="C73" t="s">
        <v>102</v>
      </c>
      <c r="D73" t="s">
        <v>175</v>
      </c>
      <c r="E73" t="s">
        <v>70</v>
      </c>
      <c r="F73">
        <v>2</v>
      </c>
      <c r="G73">
        <v>280000</v>
      </c>
      <c r="H73">
        <v>560000</v>
      </c>
      <c r="I73" t="s">
        <v>31</v>
      </c>
      <c r="J73" t="s">
        <v>84</v>
      </c>
    </row>
    <row r="74" spans="1:10" x14ac:dyDescent="0.35">
      <c r="A74" t="s">
        <v>186</v>
      </c>
      <c r="B74" s="2">
        <v>45911</v>
      </c>
      <c r="C74" t="s">
        <v>34</v>
      </c>
      <c r="D74" t="s">
        <v>121</v>
      </c>
      <c r="E74" t="s">
        <v>66</v>
      </c>
      <c r="F74">
        <v>1</v>
      </c>
      <c r="G74">
        <v>18000</v>
      </c>
      <c r="H74">
        <v>18000</v>
      </c>
      <c r="I74" t="s">
        <v>36</v>
      </c>
      <c r="J74" t="s">
        <v>122</v>
      </c>
    </row>
    <row r="75" spans="1:10" x14ac:dyDescent="0.35">
      <c r="A75" t="s">
        <v>187</v>
      </c>
      <c r="B75" s="2">
        <v>45912</v>
      </c>
      <c r="C75" t="s">
        <v>117</v>
      </c>
      <c r="D75" t="s">
        <v>188</v>
      </c>
      <c r="E75" t="s">
        <v>59</v>
      </c>
      <c r="F75">
        <v>1</v>
      </c>
      <c r="G75">
        <v>540000</v>
      </c>
      <c r="H75">
        <v>540000</v>
      </c>
      <c r="I75" t="s">
        <v>31</v>
      </c>
      <c r="J75" t="s">
        <v>56</v>
      </c>
    </row>
    <row r="76" spans="1:10" x14ac:dyDescent="0.35">
      <c r="A76" t="s">
        <v>189</v>
      </c>
      <c r="B76" s="2">
        <v>45913</v>
      </c>
      <c r="C76" t="s">
        <v>43</v>
      </c>
      <c r="D76" t="s">
        <v>183</v>
      </c>
      <c r="E76" t="s">
        <v>30</v>
      </c>
      <c r="F76">
        <v>5</v>
      </c>
      <c r="G76">
        <v>95000</v>
      </c>
      <c r="H76">
        <v>475000</v>
      </c>
      <c r="I76" t="s">
        <v>36</v>
      </c>
      <c r="J76" t="s">
        <v>122</v>
      </c>
    </row>
    <row r="77" spans="1:10" x14ac:dyDescent="0.35">
      <c r="A77" t="s">
        <v>190</v>
      </c>
      <c r="B77" s="2">
        <v>45914</v>
      </c>
      <c r="C77" t="s">
        <v>117</v>
      </c>
      <c r="D77" t="s">
        <v>90</v>
      </c>
      <c r="E77" t="s">
        <v>50</v>
      </c>
      <c r="F77">
        <v>3</v>
      </c>
      <c r="G77">
        <v>68000</v>
      </c>
      <c r="H77">
        <v>204000</v>
      </c>
      <c r="I77" t="s">
        <v>31</v>
      </c>
      <c r="J77" t="s">
        <v>46</v>
      </c>
    </row>
    <row r="78" spans="1:10" x14ac:dyDescent="0.35">
      <c r="A78" t="s">
        <v>191</v>
      </c>
      <c r="B78" s="2">
        <v>45915</v>
      </c>
      <c r="C78" t="s">
        <v>28</v>
      </c>
      <c r="D78" t="s">
        <v>63</v>
      </c>
      <c r="E78" t="s">
        <v>45</v>
      </c>
      <c r="F78">
        <v>3</v>
      </c>
      <c r="G78">
        <v>28000</v>
      </c>
      <c r="H78">
        <v>84000</v>
      </c>
      <c r="I78" t="s">
        <v>36</v>
      </c>
      <c r="J78" t="s">
        <v>46</v>
      </c>
    </row>
    <row r="79" spans="1:10" x14ac:dyDescent="0.35">
      <c r="A79" t="s">
        <v>192</v>
      </c>
      <c r="B79" s="2">
        <v>45916</v>
      </c>
      <c r="C79" t="s">
        <v>106</v>
      </c>
      <c r="D79" t="s">
        <v>115</v>
      </c>
      <c r="E79" t="s">
        <v>30</v>
      </c>
      <c r="F79">
        <v>2</v>
      </c>
      <c r="G79">
        <v>280000</v>
      </c>
      <c r="H79">
        <v>560000</v>
      </c>
      <c r="I79" t="s">
        <v>51</v>
      </c>
      <c r="J79" t="s">
        <v>122</v>
      </c>
    </row>
    <row r="80" spans="1:10" x14ac:dyDescent="0.35">
      <c r="A80" t="s">
        <v>193</v>
      </c>
      <c r="B80" s="2">
        <v>45917</v>
      </c>
      <c r="C80" t="s">
        <v>39</v>
      </c>
      <c r="D80" t="s">
        <v>40</v>
      </c>
      <c r="E80" t="s">
        <v>45</v>
      </c>
      <c r="F80">
        <v>4</v>
      </c>
      <c r="G80">
        <v>45000</v>
      </c>
      <c r="H80">
        <v>180000</v>
      </c>
      <c r="I80" t="s">
        <v>36</v>
      </c>
      <c r="J80" t="s">
        <v>146</v>
      </c>
    </row>
    <row r="81" spans="1:10" x14ac:dyDescent="0.35">
      <c r="A81" t="s">
        <v>194</v>
      </c>
      <c r="B81" s="2">
        <v>45918</v>
      </c>
      <c r="C81" t="s">
        <v>53</v>
      </c>
      <c r="D81" t="s">
        <v>58</v>
      </c>
      <c r="E81" t="s">
        <v>70</v>
      </c>
      <c r="F81">
        <v>3</v>
      </c>
      <c r="G81">
        <v>68000</v>
      </c>
      <c r="H81">
        <v>204000</v>
      </c>
      <c r="I81" t="s">
        <v>51</v>
      </c>
      <c r="J81" t="s">
        <v>32</v>
      </c>
    </row>
    <row r="82" spans="1:10" x14ac:dyDescent="0.35">
      <c r="A82" t="s">
        <v>195</v>
      </c>
      <c r="B82" s="2">
        <v>45919</v>
      </c>
      <c r="C82" t="s">
        <v>43</v>
      </c>
      <c r="D82" t="s">
        <v>49</v>
      </c>
      <c r="E82" t="s">
        <v>55</v>
      </c>
      <c r="F82">
        <v>5</v>
      </c>
      <c r="G82">
        <v>185000</v>
      </c>
      <c r="H82">
        <v>925000</v>
      </c>
      <c r="I82" t="s">
        <v>51</v>
      </c>
      <c r="J82" t="s">
        <v>84</v>
      </c>
    </row>
    <row r="83" spans="1:10" x14ac:dyDescent="0.35">
      <c r="A83" t="s">
        <v>196</v>
      </c>
      <c r="B83" s="2">
        <v>45920</v>
      </c>
      <c r="C83" t="s">
        <v>94</v>
      </c>
      <c r="D83" t="s">
        <v>78</v>
      </c>
      <c r="E83" t="s">
        <v>95</v>
      </c>
      <c r="F83">
        <v>2</v>
      </c>
      <c r="G83">
        <v>540000</v>
      </c>
      <c r="H83">
        <v>1080000</v>
      </c>
      <c r="I83" t="s">
        <v>36</v>
      </c>
      <c r="J83" t="s">
        <v>46</v>
      </c>
    </row>
    <row r="84" spans="1:10" x14ac:dyDescent="0.35">
      <c r="A84" t="s">
        <v>197</v>
      </c>
      <c r="B84" s="2">
        <v>45921</v>
      </c>
      <c r="C84" t="s">
        <v>177</v>
      </c>
      <c r="D84" t="s">
        <v>198</v>
      </c>
      <c r="E84" t="s">
        <v>35</v>
      </c>
      <c r="F84">
        <v>2</v>
      </c>
      <c r="G84">
        <v>365000</v>
      </c>
      <c r="H84">
        <v>730000</v>
      </c>
      <c r="I84" t="s">
        <v>31</v>
      </c>
      <c r="J84" t="s">
        <v>84</v>
      </c>
    </row>
    <row r="85" spans="1:10" x14ac:dyDescent="0.35">
      <c r="A85" t="s">
        <v>199</v>
      </c>
      <c r="B85" s="2">
        <v>45922</v>
      </c>
      <c r="C85" t="s">
        <v>133</v>
      </c>
      <c r="D85" t="s">
        <v>78</v>
      </c>
      <c r="E85" t="s">
        <v>30</v>
      </c>
      <c r="F85">
        <v>5</v>
      </c>
      <c r="G85">
        <v>28000</v>
      </c>
      <c r="H85">
        <v>140000</v>
      </c>
      <c r="I85" t="s">
        <v>31</v>
      </c>
      <c r="J85" t="s">
        <v>146</v>
      </c>
    </row>
    <row r="86" spans="1:10" x14ac:dyDescent="0.35">
      <c r="A86" t="s">
        <v>200</v>
      </c>
      <c r="B86" s="2">
        <v>45923</v>
      </c>
      <c r="C86" t="s">
        <v>88</v>
      </c>
      <c r="D86" t="s">
        <v>201</v>
      </c>
      <c r="E86" t="s">
        <v>50</v>
      </c>
      <c r="F86">
        <v>4</v>
      </c>
      <c r="G86">
        <v>45000</v>
      </c>
      <c r="H86">
        <v>180000</v>
      </c>
      <c r="I86" t="s">
        <v>31</v>
      </c>
      <c r="J86" t="s">
        <v>84</v>
      </c>
    </row>
    <row r="87" spans="1:10" x14ac:dyDescent="0.35">
      <c r="A87" t="s">
        <v>202</v>
      </c>
      <c r="B87" s="2">
        <v>45924</v>
      </c>
      <c r="C87" t="s">
        <v>170</v>
      </c>
      <c r="D87" t="s">
        <v>158</v>
      </c>
      <c r="E87" t="s">
        <v>66</v>
      </c>
      <c r="F87">
        <v>5</v>
      </c>
      <c r="G87">
        <v>68000</v>
      </c>
      <c r="H87">
        <v>340000</v>
      </c>
      <c r="I87" t="s">
        <v>31</v>
      </c>
      <c r="J87" t="s">
        <v>60</v>
      </c>
    </row>
    <row r="88" spans="1:10" x14ac:dyDescent="0.35">
      <c r="A88" t="s">
        <v>203</v>
      </c>
      <c r="B88" s="2">
        <v>45925</v>
      </c>
      <c r="C88" t="s">
        <v>53</v>
      </c>
      <c r="D88" t="s">
        <v>98</v>
      </c>
      <c r="E88" t="s">
        <v>50</v>
      </c>
      <c r="F88">
        <v>4</v>
      </c>
      <c r="G88">
        <v>540000</v>
      </c>
      <c r="H88">
        <v>2160000</v>
      </c>
      <c r="I88" t="s">
        <v>31</v>
      </c>
      <c r="J88" t="s">
        <v>46</v>
      </c>
    </row>
    <row r="89" spans="1:10" x14ac:dyDescent="0.35">
      <c r="A89" t="s">
        <v>204</v>
      </c>
      <c r="B89" s="2">
        <v>45926</v>
      </c>
      <c r="C89" t="s">
        <v>88</v>
      </c>
      <c r="D89" t="s">
        <v>63</v>
      </c>
      <c r="E89" t="s">
        <v>70</v>
      </c>
      <c r="F89">
        <v>5</v>
      </c>
      <c r="G89">
        <v>18000</v>
      </c>
      <c r="H89">
        <v>90000</v>
      </c>
      <c r="I89" t="s">
        <v>51</v>
      </c>
      <c r="J89" t="s">
        <v>146</v>
      </c>
    </row>
    <row r="90" spans="1:10" x14ac:dyDescent="0.35">
      <c r="A90" t="s">
        <v>205</v>
      </c>
      <c r="B90" s="2">
        <v>45927</v>
      </c>
      <c r="C90" t="s">
        <v>102</v>
      </c>
      <c r="D90" t="s">
        <v>206</v>
      </c>
      <c r="E90" t="s">
        <v>45</v>
      </c>
      <c r="F90">
        <v>5</v>
      </c>
      <c r="G90">
        <v>185000</v>
      </c>
      <c r="H90">
        <v>925000</v>
      </c>
      <c r="I90" t="s">
        <v>31</v>
      </c>
      <c r="J90" t="s">
        <v>146</v>
      </c>
    </row>
    <row r="91" spans="1:10" x14ac:dyDescent="0.35">
      <c r="A91" t="s">
        <v>207</v>
      </c>
      <c r="B91" s="2">
        <v>45928</v>
      </c>
      <c r="C91" t="s">
        <v>109</v>
      </c>
      <c r="D91" t="s">
        <v>208</v>
      </c>
      <c r="E91" t="s">
        <v>66</v>
      </c>
      <c r="F91">
        <v>1</v>
      </c>
      <c r="G91">
        <v>28000</v>
      </c>
      <c r="H91">
        <v>28000</v>
      </c>
      <c r="I91" t="s">
        <v>51</v>
      </c>
      <c r="J91" t="s">
        <v>32</v>
      </c>
    </row>
    <row r="92" spans="1:10" x14ac:dyDescent="0.35">
      <c r="A92" t="s">
        <v>209</v>
      </c>
      <c r="B92" s="2">
        <v>45929</v>
      </c>
      <c r="C92" t="s">
        <v>112</v>
      </c>
      <c r="D92" t="s">
        <v>198</v>
      </c>
      <c r="E92" t="s">
        <v>35</v>
      </c>
      <c r="F92">
        <v>2</v>
      </c>
      <c r="G92">
        <v>95000</v>
      </c>
      <c r="H92">
        <v>190000</v>
      </c>
      <c r="I92" t="s">
        <v>51</v>
      </c>
      <c r="J92" t="s">
        <v>32</v>
      </c>
    </row>
    <row r="93" spans="1:10" x14ac:dyDescent="0.35">
      <c r="A93" t="s">
        <v>210</v>
      </c>
      <c r="B93" s="2">
        <v>45930</v>
      </c>
      <c r="C93" t="s">
        <v>97</v>
      </c>
      <c r="D93" t="s">
        <v>113</v>
      </c>
      <c r="E93" t="s">
        <v>35</v>
      </c>
      <c r="F93">
        <v>5</v>
      </c>
      <c r="G93">
        <v>18000</v>
      </c>
      <c r="H93">
        <v>90000</v>
      </c>
      <c r="I93" t="s">
        <v>51</v>
      </c>
      <c r="J93" t="s">
        <v>60</v>
      </c>
    </row>
    <row r="94" spans="1:10" x14ac:dyDescent="0.35">
      <c r="A94" t="s">
        <v>211</v>
      </c>
      <c r="B94" s="2">
        <v>45931</v>
      </c>
      <c r="C94" t="s">
        <v>138</v>
      </c>
      <c r="D94" t="s">
        <v>83</v>
      </c>
      <c r="E94" t="s">
        <v>30</v>
      </c>
      <c r="F94">
        <v>5</v>
      </c>
      <c r="G94">
        <v>45000</v>
      </c>
      <c r="H94">
        <v>225000</v>
      </c>
      <c r="I94" t="s">
        <v>36</v>
      </c>
      <c r="J94" t="s">
        <v>146</v>
      </c>
    </row>
    <row r="95" spans="1:10" x14ac:dyDescent="0.35">
      <c r="A95" t="s">
        <v>212</v>
      </c>
      <c r="B95" s="2">
        <v>45932</v>
      </c>
      <c r="C95" t="s">
        <v>88</v>
      </c>
      <c r="D95" t="s">
        <v>73</v>
      </c>
      <c r="E95" t="s">
        <v>70</v>
      </c>
      <c r="F95">
        <v>3</v>
      </c>
      <c r="G95">
        <v>28000</v>
      </c>
      <c r="H95">
        <v>84000</v>
      </c>
      <c r="I95" t="s">
        <v>36</v>
      </c>
      <c r="J95" t="s">
        <v>37</v>
      </c>
    </row>
    <row r="96" spans="1:10" x14ac:dyDescent="0.35">
      <c r="A96" t="s">
        <v>213</v>
      </c>
      <c r="B96" s="2">
        <v>45933</v>
      </c>
      <c r="C96" t="s">
        <v>97</v>
      </c>
      <c r="D96" t="s">
        <v>178</v>
      </c>
      <c r="E96" t="s">
        <v>55</v>
      </c>
      <c r="F96">
        <v>2</v>
      </c>
      <c r="G96">
        <v>18000</v>
      </c>
      <c r="H96">
        <v>36000</v>
      </c>
      <c r="I96" t="s">
        <v>51</v>
      </c>
      <c r="J96" t="s">
        <v>146</v>
      </c>
    </row>
    <row r="97" spans="1:10" x14ac:dyDescent="0.35">
      <c r="A97" t="s">
        <v>214</v>
      </c>
      <c r="B97" s="2">
        <v>45934</v>
      </c>
      <c r="C97" t="s">
        <v>39</v>
      </c>
      <c r="D97" t="s">
        <v>178</v>
      </c>
      <c r="E97" t="s">
        <v>70</v>
      </c>
      <c r="F97">
        <v>3</v>
      </c>
      <c r="G97">
        <v>185000</v>
      </c>
      <c r="H97">
        <v>555000</v>
      </c>
      <c r="I97" t="s">
        <v>36</v>
      </c>
      <c r="J97" t="s">
        <v>32</v>
      </c>
    </row>
    <row r="98" spans="1:10" x14ac:dyDescent="0.35">
      <c r="A98" t="s">
        <v>215</v>
      </c>
      <c r="B98" s="2">
        <v>45935</v>
      </c>
      <c r="C98" t="s">
        <v>170</v>
      </c>
      <c r="D98" t="s">
        <v>216</v>
      </c>
      <c r="E98" t="s">
        <v>45</v>
      </c>
      <c r="F98">
        <v>2</v>
      </c>
      <c r="G98">
        <v>95000</v>
      </c>
      <c r="H98">
        <v>190000</v>
      </c>
      <c r="I98" t="s">
        <v>31</v>
      </c>
      <c r="J98" t="s">
        <v>37</v>
      </c>
    </row>
    <row r="99" spans="1:10" x14ac:dyDescent="0.35">
      <c r="A99" t="s">
        <v>217</v>
      </c>
      <c r="B99" s="2">
        <v>45936</v>
      </c>
      <c r="C99" t="s">
        <v>68</v>
      </c>
      <c r="D99" t="s">
        <v>103</v>
      </c>
      <c r="E99" t="s">
        <v>50</v>
      </c>
      <c r="F99">
        <v>3</v>
      </c>
      <c r="G99">
        <v>18000</v>
      </c>
      <c r="H99">
        <v>54000</v>
      </c>
      <c r="I99" t="s">
        <v>31</v>
      </c>
      <c r="J99" t="s">
        <v>46</v>
      </c>
    </row>
    <row r="100" spans="1:10" x14ac:dyDescent="0.35">
      <c r="A100" t="s">
        <v>218</v>
      </c>
      <c r="B100" s="2">
        <v>45937</v>
      </c>
      <c r="C100" t="s">
        <v>106</v>
      </c>
      <c r="D100" t="s">
        <v>113</v>
      </c>
      <c r="E100" t="s">
        <v>35</v>
      </c>
      <c r="F100">
        <v>5</v>
      </c>
      <c r="G100">
        <v>120000</v>
      </c>
      <c r="H100">
        <v>600000</v>
      </c>
      <c r="I100" t="s">
        <v>51</v>
      </c>
      <c r="J100" t="s">
        <v>46</v>
      </c>
    </row>
    <row r="101" spans="1:10" x14ac:dyDescent="0.35">
      <c r="A101" t="s">
        <v>219</v>
      </c>
      <c r="B101" s="2">
        <v>45938</v>
      </c>
      <c r="C101" t="s">
        <v>102</v>
      </c>
      <c r="D101" t="s">
        <v>143</v>
      </c>
      <c r="E101" t="s">
        <v>50</v>
      </c>
      <c r="F101">
        <v>5</v>
      </c>
      <c r="G101">
        <v>95000</v>
      </c>
      <c r="H101">
        <v>475000</v>
      </c>
      <c r="I101" t="s">
        <v>31</v>
      </c>
      <c r="J101" t="s">
        <v>84</v>
      </c>
    </row>
    <row r="102" spans="1:10" x14ac:dyDescent="0.35">
      <c r="A102" t="s">
        <v>220</v>
      </c>
      <c r="B102" s="2">
        <v>45939</v>
      </c>
      <c r="C102" t="s">
        <v>138</v>
      </c>
      <c r="D102" t="s">
        <v>115</v>
      </c>
      <c r="E102" t="s">
        <v>50</v>
      </c>
      <c r="F102">
        <v>1</v>
      </c>
      <c r="G102">
        <v>45000</v>
      </c>
      <c r="H102">
        <v>45000</v>
      </c>
      <c r="I102" t="s">
        <v>51</v>
      </c>
      <c r="J102" t="s">
        <v>122</v>
      </c>
    </row>
    <row r="103" spans="1:10" x14ac:dyDescent="0.35">
      <c r="A103" t="s">
        <v>221</v>
      </c>
      <c r="B103" s="2">
        <v>45940</v>
      </c>
      <c r="C103" t="s">
        <v>109</v>
      </c>
      <c r="D103" t="s">
        <v>178</v>
      </c>
      <c r="E103" t="s">
        <v>50</v>
      </c>
      <c r="F103">
        <v>3</v>
      </c>
      <c r="G103">
        <v>185000</v>
      </c>
      <c r="H103">
        <v>555000</v>
      </c>
      <c r="I103" t="s">
        <v>51</v>
      </c>
      <c r="J103" t="s">
        <v>32</v>
      </c>
    </row>
    <row r="104" spans="1:10" x14ac:dyDescent="0.35">
      <c r="A104" t="s">
        <v>222</v>
      </c>
      <c r="B104" s="2">
        <v>45941</v>
      </c>
      <c r="C104" t="s">
        <v>88</v>
      </c>
      <c r="D104" t="s">
        <v>76</v>
      </c>
      <c r="E104" t="s">
        <v>35</v>
      </c>
      <c r="F104">
        <v>4</v>
      </c>
      <c r="G104">
        <v>540000</v>
      </c>
      <c r="H104">
        <v>2160000</v>
      </c>
      <c r="I104" t="s">
        <v>31</v>
      </c>
      <c r="J104" t="s">
        <v>122</v>
      </c>
    </row>
    <row r="105" spans="1:10" x14ac:dyDescent="0.35">
      <c r="A105" t="s">
        <v>223</v>
      </c>
      <c r="B105" s="2">
        <v>45942</v>
      </c>
      <c r="C105" t="s">
        <v>177</v>
      </c>
      <c r="D105" t="s">
        <v>183</v>
      </c>
      <c r="E105" t="s">
        <v>41</v>
      </c>
      <c r="F105">
        <v>1</v>
      </c>
      <c r="G105">
        <v>365000</v>
      </c>
      <c r="H105">
        <v>365000</v>
      </c>
      <c r="I105" t="s">
        <v>36</v>
      </c>
      <c r="J105" t="s">
        <v>37</v>
      </c>
    </row>
    <row r="106" spans="1:10" x14ac:dyDescent="0.35">
      <c r="A106" t="s">
        <v>224</v>
      </c>
      <c r="B106" s="2">
        <v>45943</v>
      </c>
      <c r="C106" t="s">
        <v>145</v>
      </c>
      <c r="D106" t="s">
        <v>216</v>
      </c>
      <c r="E106" t="s">
        <v>59</v>
      </c>
      <c r="F106">
        <v>3</v>
      </c>
      <c r="G106">
        <v>365000</v>
      </c>
      <c r="H106">
        <v>1095000</v>
      </c>
      <c r="I106" t="s">
        <v>31</v>
      </c>
      <c r="J106" t="s">
        <v>32</v>
      </c>
    </row>
    <row r="107" spans="1:10" x14ac:dyDescent="0.35">
      <c r="A107" t="s">
        <v>225</v>
      </c>
      <c r="B107" s="2">
        <v>45944</v>
      </c>
      <c r="C107" t="s">
        <v>43</v>
      </c>
      <c r="D107" t="s">
        <v>29</v>
      </c>
      <c r="E107" t="s">
        <v>45</v>
      </c>
      <c r="F107">
        <v>3</v>
      </c>
      <c r="G107">
        <v>365000</v>
      </c>
      <c r="H107">
        <v>1095000</v>
      </c>
      <c r="I107" t="s">
        <v>31</v>
      </c>
      <c r="J107" t="s">
        <v>60</v>
      </c>
    </row>
    <row r="108" spans="1:10" x14ac:dyDescent="0.35">
      <c r="A108" t="s">
        <v>226</v>
      </c>
      <c r="B108" s="2">
        <v>45945</v>
      </c>
      <c r="C108" t="s">
        <v>53</v>
      </c>
      <c r="D108" t="s">
        <v>141</v>
      </c>
      <c r="E108" t="s">
        <v>41</v>
      </c>
      <c r="F108">
        <v>1</v>
      </c>
      <c r="G108">
        <v>28000</v>
      </c>
      <c r="H108">
        <v>28000</v>
      </c>
      <c r="I108" t="s">
        <v>51</v>
      </c>
      <c r="J108" t="s">
        <v>146</v>
      </c>
    </row>
    <row r="109" spans="1:10" x14ac:dyDescent="0.35">
      <c r="A109" t="s">
        <v>227</v>
      </c>
      <c r="B109" s="2">
        <v>45946</v>
      </c>
      <c r="C109" t="s">
        <v>177</v>
      </c>
      <c r="D109" t="s">
        <v>80</v>
      </c>
      <c r="E109" t="s">
        <v>45</v>
      </c>
      <c r="F109">
        <v>5</v>
      </c>
      <c r="G109">
        <v>45000</v>
      </c>
      <c r="H109">
        <v>225000</v>
      </c>
      <c r="I109" t="s">
        <v>51</v>
      </c>
      <c r="J109" t="s">
        <v>60</v>
      </c>
    </row>
    <row r="110" spans="1:10" x14ac:dyDescent="0.35">
      <c r="A110" t="s">
        <v>228</v>
      </c>
      <c r="B110" s="2">
        <v>45947</v>
      </c>
      <c r="C110" t="s">
        <v>75</v>
      </c>
      <c r="D110" t="s">
        <v>113</v>
      </c>
      <c r="E110" t="s">
        <v>66</v>
      </c>
      <c r="F110">
        <v>3</v>
      </c>
      <c r="G110">
        <v>185000</v>
      </c>
      <c r="H110">
        <v>555000</v>
      </c>
      <c r="I110" t="s">
        <v>51</v>
      </c>
      <c r="J110" t="s">
        <v>37</v>
      </c>
    </row>
    <row r="111" spans="1:10" x14ac:dyDescent="0.35">
      <c r="A111" t="s">
        <v>229</v>
      </c>
      <c r="B111" s="2">
        <v>45948</v>
      </c>
      <c r="C111" t="s">
        <v>117</v>
      </c>
      <c r="D111" t="s">
        <v>188</v>
      </c>
      <c r="E111" t="s">
        <v>70</v>
      </c>
      <c r="F111">
        <v>5</v>
      </c>
      <c r="G111">
        <v>95000</v>
      </c>
      <c r="H111">
        <v>475000</v>
      </c>
      <c r="I111" t="s">
        <v>51</v>
      </c>
      <c r="J111" t="s">
        <v>32</v>
      </c>
    </row>
    <row r="112" spans="1:10" x14ac:dyDescent="0.35">
      <c r="A112" t="s">
        <v>230</v>
      </c>
      <c r="B112" s="2">
        <v>45949</v>
      </c>
      <c r="C112" t="s">
        <v>131</v>
      </c>
      <c r="D112" t="s">
        <v>162</v>
      </c>
      <c r="E112" t="s">
        <v>70</v>
      </c>
      <c r="F112">
        <v>1</v>
      </c>
      <c r="G112">
        <v>28000</v>
      </c>
      <c r="H112">
        <v>28000</v>
      </c>
      <c r="I112" t="s">
        <v>36</v>
      </c>
      <c r="J112" t="s">
        <v>56</v>
      </c>
    </row>
    <row r="113" spans="1:10" x14ac:dyDescent="0.35">
      <c r="A113" t="s">
        <v>231</v>
      </c>
      <c r="B113" s="2">
        <v>45950</v>
      </c>
      <c r="C113" t="s">
        <v>109</v>
      </c>
      <c r="D113" t="s">
        <v>201</v>
      </c>
      <c r="E113" t="s">
        <v>95</v>
      </c>
      <c r="F113">
        <v>5</v>
      </c>
      <c r="G113">
        <v>45000</v>
      </c>
      <c r="H113">
        <v>225000</v>
      </c>
      <c r="I113" t="s">
        <v>36</v>
      </c>
      <c r="J113" t="s">
        <v>37</v>
      </c>
    </row>
    <row r="114" spans="1:10" x14ac:dyDescent="0.35">
      <c r="A114" t="s">
        <v>232</v>
      </c>
      <c r="B114" s="2">
        <v>45951</v>
      </c>
      <c r="C114" t="s">
        <v>53</v>
      </c>
      <c r="D114" t="s">
        <v>83</v>
      </c>
      <c r="E114" t="s">
        <v>70</v>
      </c>
      <c r="F114">
        <v>2</v>
      </c>
      <c r="G114">
        <v>540000</v>
      </c>
      <c r="H114">
        <v>1080000</v>
      </c>
      <c r="I114" t="s">
        <v>36</v>
      </c>
      <c r="J114" t="s">
        <v>56</v>
      </c>
    </row>
    <row r="115" spans="1:10" x14ac:dyDescent="0.35">
      <c r="A115" t="s">
        <v>233</v>
      </c>
      <c r="B115" s="2">
        <v>45952</v>
      </c>
      <c r="C115" t="s">
        <v>62</v>
      </c>
      <c r="D115" t="s">
        <v>73</v>
      </c>
      <c r="E115" t="s">
        <v>35</v>
      </c>
      <c r="F115">
        <v>4</v>
      </c>
      <c r="G115">
        <v>120000</v>
      </c>
      <c r="H115">
        <v>480000</v>
      </c>
      <c r="I115" t="s">
        <v>51</v>
      </c>
      <c r="J115" t="s">
        <v>146</v>
      </c>
    </row>
    <row r="116" spans="1:10" x14ac:dyDescent="0.35">
      <c r="A116" t="s">
        <v>234</v>
      </c>
      <c r="B116" s="2">
        <v>45953</v>
      </c>
      <c r="C116" t="s">
        <v>145</v>
      </c>
      <c r="D116" t="s">
        <v>107</v>
      </c>
      <c r="E116" t="s">
        <v>55</v>
      </c>
      <c r="F116">
        <v>3</v>
      </c>
      <c r="G116">
        <v>185000</v>
      </c>
      <c r="H116">
        <v>555000</v>
      </c>
      <c r="I116" t="s">
        <v>51</v>
      </c>
      <c r="J116" t="s">
        <v>46</v>
      </c>
    </row>
    <row r="117" spans="1:10" x14ac:dyDescent="0.35">
      <c r="A117" t="s">
        <v>235</v>
      </c>
      <c r="B117" s="2">
        <v>45954</v>
      </c>
      <c r="C117" t="s">
        <v>236</v>
      </c>
      <c r="D117" t="s">
        <v>92</v>
      </c>
      <c r="E117" t="s">
        <v>30</v>
      </c>
      <c r="F117">
        <v>4</v>
      </c>
      <c r="G117">
        <v>365000</v>
      </c>
      <c r="H117">
        <v>1460000</v>
      </c>
      <c r="I117" t="s">
        <v>51</v>
      </c>
      <c r="J117" t="s">
        <v>46</v>
      </c>
    </row>
    <row r="118" spans="1:10" x14ac:dyDescent="0.35">
      <c r="A118" t="s">
        <v>237</v>
      </c>
      <c r="B118" s="2">
        <v>45955</v>
      </c>
      <c r="C118" t="s">
        <v>170</v>
      </c>
      <c r="D118" t="s">
        <v>100</v>
      </c>
      <c r="E118" t="s">
        <v>95</v>
      </c>
      <c r="F118">
        <v>5</v>
      </c>
      <c r="G118">
        <v>18000</v>
      </c>
      <c r="H118">
        <v>90000</v>
      </c>
      <c r="I118" t="s">
        <v>36</v>
      </c>
      <c r="J118" t="s">
        <v>37</v>
      </c>
    </row>
    <row r="119" spans="1:10" x14ac:dyDescent="0.35">
      <c r="A119" t="s">
        <v>238</v>
      </c>
      <c r="B119" s="2">
        <v>45956</v>
      </c>
      <c r="C119" t="s">
        <v>43</v>
      </c>
      <c r="D119" t="s">
        <v>239</v>
      </c>
      <c r="E119" t="s">
        <v>30</v>
      </c>
      <c r="F119">
        <v>3</v>
      </c>
      <c r="G119">
        <v>185000</v>
      </c>
      <c r="H119">
        <v>555000</v>
      </c>
      <c r="I119" t="s">
        <v>51</v>
      </c>
      <c r="J119" t="s">
        <v>122</v>
      </c>
    </row>
    <row r="120" spans="1:10" x14ac:dyDescent="0.35">
      <c r="A120" t="s">
        <v>240</v>
      </c>
      <c r="B120" s="2">
        <v>45957</v>
      </c>
      <c r="C120" t="s">
        <v>62</v>
      </c>
      <c r="D120" t="s">
        <v>141</v>
      </c>
      <c r="E120" t="s">
        <v>45</v>
      </c>
      <c r="F120">
        <v>5</v>
      </c>
      <c r="G120">
        <v>280000</v>
      </c>
      <c r="H120">
        <v>1400000</v>
      </c>
      <c r="I120" t="s">
        <v>31</v>
      </c>
      <c r="J120" t="s">
        <v>32</v>
      </c>
    </row>
    <row r="121" spans="1:10" x14ac:dyDescent="0.35">
      <c r="A121" t="s">
        <v>241</v>
      </c>
      <c r="B121" s="2">
        <v>45958</v>
      </c>
      <c r="C121" t="s">
        <v>82</v>
      </c>
      <c r="D121" t="s">
        <v>100</v>
      </c>
      <c r="E121" t="s">
        <v>30</v>
      </c>
      <c r="F121">
        <v>2</v>
      </c>
      <c r="G121">
        <v>45000</v>
      </c>
      <c r="H121">
        <v>90000</v>
      </c>
      <c r="I121" t="s">
        <v>31</v>
      </c>
      <c r="J121" t="s">
        <v>32</v>
      </c>
    </row>
    <row r="122" spans="1:10" x14ac:dyDescent="0.35">
      <c r="A122" t="s">
        <v>242</v>
      </c>
      <c r="B122" s="2">
        <v>45959</v>
      </c>
      <c r="C122" t="s">
        <v>68</v>
      </c>
      <c r="D122" t="s">
        <v>183</v>
      </c>
      <c r="E122" t="s">
        <v>30</v>
      </c>
      <c r="F122">
        <v>1</v>
      </c>
      <c r="G122">
        <v>68000</v>
      </c>
      <c r="H122">
        <v>68000</v>
      </c>
      <c r="I122" t="s">
        <v>51</v>
      </c>
      <c r="J122" t="s">
        <v>46</v>
      </c>
    </row>
    <row r="123" spans="1:10" x14ac:dyDescent="0.35">
      <c r="A123" t="s">
        <v>243</v>
      </c>
      <c r="B123" s="2">
        <v>45960</v>
      </c>
      <c r="C123" t="s">
        <v>131</v>
      </c>
      <c r="D123" t="s">
        <v>100</v>
      </c>
      <c r="E123" t="s">
        <v>95</v>
      </c>
      <c r="F123">
        <v>3</v>
      </c>
      <c r="G123">
        <v>540000</v>
      </c>
      <c r="H123">
        <v>1620000</v>
      </c>
      <c r="I123" t="s">
        <v>31</v>
      </c>
      <c r="J123" t="s">
        <v>84</v>
      </c>
    </row>
    <row r="124" spans="1:10" x14ac:dyDescent="0.35">
      <c r="A124" t="s">
        <v>244</v>
      </c>
      <c r="B124" s="2">
        <v>45961</v>
      </c>
      <c r="C124" t="s">
        <v>117</v>
      </c>
      <c r="D124" t="s">
        <v>121</v>
      </c>
      <c r="E124" t="s">
        <v>66</v>
      </c>
      <c r="F124">
        <v>2</v>
      </c>
      <c r="G124">
        <v>120000</v>
      </c>
      <c r="H124">
        <v>240000</v>
      </c>
      <c r="I124" t="s">
        <v>31</v>
      </c>
      <c r="J124" t="s">
        <v>60</v>
      </c>
    </row>
    <row r="125" spans="1:10" x14ac:dyDescent="0.35">
      <c r="A125" t="s">
        <v>245</v>
      </c>
      <c r="B125" s="2">
        <v>45962</v>
      </c>
      <c r="C125" t="s">
        <v>117</v>
      </c>
      <c r="D125" t="s">
        <v>246</v>
      </c>
      <c r="E125" t="s">
        <v>50</v>
      </c>
      <c r="F125">
        <v>2</v>
      </c>
      <c r="G125">
        <v>540000</v>
      </c>
      <c r="H125">
        <v>1080000</v>
      </c>
      <c r="I125" t="s">
        <v>36</v>
      </c>
      <c r="J125" t="s">
        <v>84</v>
      </c>
    </row>
    <row r="126" spans="1:10" x14ac:dyDescent="0.35">
      <c r="A126" t="s">
        <v>247</v>
      </c>
      <c r="B126" s="2">
        <v>45963</v>
      </c>
      <c r="C126" t="s">
        <v>117</v>
      </c>
      <c r="D126" t="s">
        <v>248</v>
      </c>
      <c r="E126" t="s">
        <v>70</v>
      </c>
      <c r="F126">
        <v>3</v>
      </c>
      <c r="G126">
        <v>185000</v>
      </c>
      <c r="H126">
        <v>555000</v>
      </c>
      <c r="I126" t="s">
        <v>51</v>
      </c>
      <c r="J126" t="s">
        <v>146</v>
      </c>
    </row>
    <row r="127" spans="1:10" x14ac:dyDescent="0.35">
      <c r="A127" t="s">
        <v>249</v>
      </c>
      <c r="B127" s="2">
        <v>45964</v>
      </c>
      <c r="C127" t="s">
        <v>236</v>
      </c>
      <c r="D127" t="s">
        <v>49</v>
      </c>
      <c r="E127" t="s">
        <v>70</v>
      </c>
      <c r="F127">
        <v>5</v>
      </c>
      <c r="G127">
        <v>68000</v>
      </c>
      <c r="H127">
        <v>340000</v>
      </c>
      <c r="I127" t="s">
        <v>51</v>
      </c>
      <c r="J127" t="s">
        <v>60</v>
      </c>
    </row>
    <row r="128" spans="1:10" x14ac:dyDescent="0.35">
      <c r="A128" t="s">
        <v>250</v>
      </c>
      <c r="B128" s="2">
        <v>45965</v>
      </c>
      <c r="C128" t="s">
        <v>167</v>
      </c>
      <c r="D128" t="s">
        <v>83</v>
      </c>
      <c r="E128" t="s">
        <v>35</v>
      </c>
      <c r="F128">
        <v>2</v>
      </c>
      <c r="G128">
        <v>280000</v>
      </c>
      <c r="H128">
        <v>560000</v>
      </c>
      <c r="I128" t="s">
        <v>36</v>
      </c>
      <c r="J128" t="s">
        <v>60</v>
      </c>
    </row>
    <row r="129" spans="1:10" x14ac:dyDescent="0.35">
      <c r="A129" t="s">
        <v>251</v>
      </c>
      <c r="B129" s="2">
        <v>45966</v>
      </c>
      <c r="C129" t="s">
        <v>39</v>
      </c>
      <c r="D129" t="s">
        <v>58</v>
      </c>
      <c r="E129" t="s">
        <v>95</v>
      </c>
      <c r="F129">
        <v>4</v>
      </c>
      <c r="G129">
        <v>95000</v>
      </c>
      <c r="H129">
        <v>380000</v>
      </c>
      <c r="I129" t="s">
        <v>31</v>
      </c>
      <c r="J129" t="s">
        <v>37</v>
      </c>
    </row>
    <row r="130" spans="1:10" x14ac:dyDescent="0.35">
      <c r="A130" t="s">
        <v>252</v>
      </c>
      <c r="B130" s="2">
        <v>45967</v>
      </c>
      <c r="C130" t="s">
        <v>43</v>
      </c>
      <c r="D130" t="s">
        <v>253</v>
      </c>
      <c r="E130" t="s">
        <v>35</v>
      </c>
      <c r="F130">
        <v>2</v>
      </c>
      <c r="G130">
        <v>18000</v>
      </c>
      <c r="H130">
        <v>36000</v>
      </c>
      <c r="I130" t="s">
        <v>31</v>
      </c>
      <c r="J130" t="s">
        <v>46</v>
      </c>
    </row>
    <row r="131" spans="1:10" x14ac:dyDescent="0.35">
      <c r="A131" t="s">
        <v>254</v>
      </c>
      <c r="B131" s="2">
        <v>45968</v>
      </c>
      <c r="C131" t="s">
        <v>236</v>
      </c>
      <c r="D131" t="s">
        <v>141</v>
      </c>
      <c r="E131" t="s">
        <v>55</v>
      </c>
      <c r="F131">
        <v>5</v>
      </c>
      <c r="G131">
        <v>68000</v>
      </c>
      <c r="H131">
        <v>340000</v>
      </c>
      <c r="I131" t="s">
        <v>51</v>
      </c>
      <c r="J131" t="s">
        <v>84</v>
      </c>
    </row>
    <row r="132" spans="1:10" x14ac:dyDescent="0.35">
      <c r="A132" t="s">
        <v>255</v>
      </c>
      <c r="B132" s="2">
        <v>45969</v>
      </c>
      <c r="C132" t="s">
        <v>120</v>
      </c>
      <c r="D132" t="s">
        <v>175</v>
      </c>
      <c r="E132" t="s">
        <v>55</v>
      </c>
      <c r="F132">
        <v>5</v>
      </c>
      <c r="G132">
        <v>45000</v>
      </c>
      <c r="H132">
        <v>225000</v>
      </c>
      <c r="I132" t="s">
        <v>31</v>
      </c>
      <c r="J132" t="s">
        <v>84</v>
      </c>
    </row>
    <row r="133" spans="1:10" x14ac:dyDescent="0.35">
      <c r="A133" t="s">
        <v>256</v>
      </c>
      <c r="B133" s="2">
        <v>45970</v>
      </c>
      <c r="C133" t="s">
        <v>131</v>
      </c>
      <c r="D133" t="s">
        <v>127</v>
      </c>
      <c r="E133" t="s">
        <v>35</v>
      </c>
      <c r="F133">
        <v>4</v>
      </c>
      <c r="G133">
        <v>365000</v>
      </c>
      <c r="H133">
        <v>1460000</v>
      </c>
      <c r="I133" t="s">
        <v>36</v>
      </c>
      <c r="J133" t="s">
        <v>46</v>
      </c>
    </row>
    <row r="134" spans="1:10" x14ac:dyDescent="0.35">
      <c r="A134" t="s">
        <v>257</v>
      </c>
      <c r="B134" s="2">
        <v>45971</v>
      </c>
      <c r="C134" t="s">
        <v>28</v>
      </c>
      <c r="D134" t="s">
        <v>172</v>
      </c>
      <c r="E134" t="s">
        <v>95</v>
      </c>
      <c r="F134">
        <v>2</v>
      </c>
      <c r="G134">
        <v>280000</v>
      </c>
      <c r="H134">
        <v>560000</v>
      </c>
      <c r="I134" t="s">
        <v>36</v>
      </c>
      <c r="J134" t="s">
        <v>84</v>
      </c>
    </row>
    <row r="135" spans="1:10" x14ac:dyDescent="0.35">
      <c r="A135" t="s">
        <v>258</v>
      </c>
      <c r="B135" s="2">
        <v>45972</v>
      </c>
      <c r="C135" t="s">
        <v>167</v>
      </c>
      <c r="D135" t="s">
        <v>175</v>
      </c>
      <c r="E135" t="s">
        <v>35</v>
      </c>
      <c r="F135">
        <v>5</v>
      </c>
      <c r="G135">
        <v>18000</v>
      </c>
      <c r="H135">
        <v>90000</v>
      </c>
      <c r="I135" t="s">
        <v>51</v>
      </c>
      <c r="J135" t="s">
        <v>56</v>
      </c>
    </row>
    <row r="136" spans="1:10" x14ac:dyDescent="0.35">
      <c r="A136" t="s">
        <v>259</v>
      </c>
      <c r="B136" s="2">
        <v>45973</v>
      </c>
      <c r="C136" t="s">
        <v>82</v>
      </c>
      <c r="D136" t="s">
        <v>183</v>
      </c>
      <c r="E136" t="s">
        <v>70</v>
      </c>
      <c r="F136">
        <v>3</v>
      </c>
      <c r="G136">
        <v>120000</v>
      </c>
      <c r="H136">
        <v>360000</v>
      </c>
      <c r="I136" t="s">
        <v>36</v>
      </c>
      <c r="J136" t="s">
        <v>46</v>
      </c>
    </row>
    <row r="137" spans="1:10" x14ac:dyDescent="0.35">
      <c r="A137" t="s">
        <v>260</v>
      </c>
      <c r="B137" s="2">
        <v>45974</v>
      </c>
      <c r="C137" t="s">
        <v>120</v>
      </c>
      <c r="D137" t="s">
        <v>103</v>
      </c>
      <c r="E137" t="s">
        <v>41</v>
      </c>
      <c r="F137">
        <v>1</v>
      </c>
      <c r="G137">
        <v>365000</v>
      </c>
      <c r="H137">
        <v>365000</v>
      </c>
      <c r="I137" t="s">
        <v>36</v>
      </c>
      <c r="J137" t="s">
        <v>37</v>
      </c>
    </row>
    <row r="138" spans="1:10" x14ac:dyDescent="0.35">
      <c r="A138" t="s">
        <v>261</v>
      </c>
      <c r="B138" s="2">
        <v>45975</v>
      </c>
      <c r="C138" t="s">
        <v>106</v>
      </c>
      <c r="D138" t="s">
        <v>110</v>
      </c>
      <c r="E138" t="s">
        <v>59</v>
      </c>
      <c r="F138">
        <v>1</v>
      </c>
      <c r="G138">
        <v>185000</v>
      </c>
      <c r="H138">
        <v>185000</v>
      </c>
      <c r="I138" t="s">
        <v>51</v>
      </c>
      <c r="J138" t="s">
        <v>122</v>
      </c>
    </row>
    <row r="139" spans="1:10" x14ac:dyDescent="0.35">
      <c r="A139" t="s">
        <v>262</v>
      </c>
      <c r="B139" s="2">
        <v>45976</v>
      </c>
      <c r="C139" t="s">
        <v>53</v>
      </c>
      <c r="D139" t="s">
        <v>198</v>
      </c>
      <c r="E139" t="s">
        <v>30</v>
      </c>
      <c r="F139">
        <v>1</v>
      </c>
      <c r="G139">
        <v>68000</v>
      </c>
      <c r="H139">
        <v>68000</v>
      </c>
      <c r="I139" t="s">
        <v>36</v>
      </c>
      <c r="J139" t="s">
        <v>60</v>
      </c>
    </row>
    <row r="140" spans="1:10" x14ac:dyDescent="0.35">
      <c r="A140" t="s">
        <v>263</v>
      </c>
      <c r="B140" s="2">
        <v>45977</v>
      </c>
      <c r="C140" t="s">
        <v>82</v>
      </c>
      <c r="D140" t="s">
        <v>73</v>
      </c>
      <c r="E140" t="s">
        <v>59</v>
      </c>
      <c r="F140">
        <v>2</v>
      </c>
      <c r="G140">
        <v>18000</v>
      </c>
      <c r="H140">
        <v>36000</v>
      </c>
      <c r="I140" t="s">
        <v>36</v>
      </c>
      <c r="J140" t="s">
        <v>37</v>
      </c>
    </row>
    <row r="141" spans="1:10" x14ac:dyDescent="0.35">
      <c r="A141" t="s">
        <v>264</v>
      </c>
      <c r="B141" s="2">
        <v>45978</v>
      </c>
      <c r="C141" t="s">
        <v>48</v>
      </c>
      <c r="D141" t="s">
        <v>158</v>
      </c>
      <c r="E141" t="s">
        <v>95</v>
      </c>
      <c r="F141">
        <v>4</v>
      </c>
      <c r="G141">
        <v>28000</v>
      </c>
      <c r="H141">
        <v>112000</v>
      </c>
      <c r="I141" t="s">
        <v>36</v>
      </c>
      <c r="J141" t="s">
        <v>32</v>
      </c>
    </row>
    <row r="142" spans="1:10" x14ac:dyDescent="0.35">
      <c r="A142" t="s">
        <v>265</v>
      </c>
      <c r="B142" s="2">
        <v>45979</v>
      </c>
      <c r="C142" t="s">
        <v>72</v>
      </c>
      <c r="D142" t="s">
        <v>73</v>
      </c>
      <c r="E142" t="s">
        <v>59</v>
      </c>
      <c r="F142">
        <v>5</v>
      </c>
      <c r="G142">
        <v>95000</v>
      </c>
      <c r="H142">
        <v>475000</v>
      </c>
      <c r="I142" t="s">
        <v>31</v>
      </c>
      <c r="J142" t="s">
        <v>146</v>
      </c>
    </row>
    <row r="143" spans="1:10" x14ac:dyDescent="0.35">
      <c r="A143" t="s">
        <v>266</v>
      </c>
      <c r="B143" s="2">
        <v>45980</v>
      </c>
      <c r="C143" t="s">
        <v>133</v>
      </c>
      <c r="D143" t="s">
        <v>125</v>
      </c>
      <c r="E143" t="s">
        <v>55</v>
      </c>
      <c r="F143">
        <v>3</v>
      </c>
      <c r="G143">
        <v>95000</v>
      </c>
      <c r="H143">
        <v>285000</v>
      </c>
      <c r="I143" t="s">
        <v>51</v>
      </c>
      <c r="J143" t="s">
        <v>122</v>
      </c>
    </row>
    <row r="144" spans="1:10" x14ac:dyDescent="0.35">
      <c r="A144" t="s">
        <v>267</v>
      </c>
      <c r="B144" s="2">
        <v>45981</v>
      </c>
      <c r="C144" t="s">
        <v>53</v>
      </c>
      <c r="D144" t="s">
        <v>175</v>
      </c>
      <c r="E144" t="s">
        <v>45</v>
      </c>
      <c r="F144">
        <v>3</v>
      </c>
      <c r="G144">
        <v>280000</v>
      </c>
      <c r="H144">
        <v>840000</v>
      </c>
      <c r="I144" t="s">
        <v>51</v>
      </c>
      <c r="J144" t="s">
        <v>32</v>
      </c>
    </row>
    <row r="145" spans="1:10" x14ac:dyDescent="0.35">
      <c r="A145" t="s">
        <v>268</v>
      </c>
      <c r="B145" s="2">
        <v>45982</v>
      </c>
      <c r="C145" t="s">
        <v>94</v>
      </c>
      <c r="D145" t="s">
        <v>269</v>
      </c>
      <c r="E145" t="s">
        <v>30</v>
      </c>
      <c r="F145">
        <v>2</v>
      </c>
      <c r="G145">
        <v>120000</v>
      </c>
      <c r="H145">
        <v>240000</v>
      </c>
      <c r="I145" t="s">
        <v>51</v>
      </c>
      <c r="J145" t="s">
        <v>60</v>
      </c>
    </row>
    <row r="146" spans="1:10" x14ac:dyDescent="0.35">
      <c r="A146" t="s">
        <v>270</v>
      </c>
      <c r="B146" s="2">
        <v>45983</v>
      </c>
      <c r="C146" t="s">
        <v>94</v>
      </c>
      <c r="D146" t="s">
        <v>158</v>
      </c>
      <c r="E146" t="s">
        <v>50</v>
      </c>
      <c r="F146">
        <v>1</v>
      </c>
      <c r="G146">
        <v>280000</v>
      </c>
      <c r="H146">
        <v>280000</v>
      </c>
      <c r="I146" t="s">
        <v>31</v>
      </c>
      <c r="J146" t="s">
        <v>84</v>
      </c>
    </row>
    <row r="147" spans="1:10" x14ac:dyDescent="0.35">
      <c r="A147" t="s">
        <v>271</v>
      </c>
      <c r="B147" s="2">
        <v>45984</v>
      </c>
      <c r="C147" t="s">
        <v>120</v>
      </c>
      <c r="D147" t="s">
        <v>44</v>
      </c>
      <c r="E147" t="s">
        <v>95</v>
      </c>
      <c r="F147">
        <v>2</v>
      </c>
      <c r="G147">
        <v>28000</v>
      </c>
      <c r="H147">
        <v>56000</v>
      </c>
      <c r="I147" t="s">
        <v>31</v>
      </c>
      <c r="J147" t="s">
        <v>46</v>
      </c>
    </row>
    <row r="148" spans="1:10" x14ac:dyDescent="0.35">
      <c r="A148" t="s">
        <v>272</v>
      </c>
      <c r="B148" s="2">
        <v>45985</v>
      </c>
      <c r="C148" t="s">
        <v>135</v>
      </c>
      <c r="D148" t="s">
        <v>63</v>
      </c>
      <c r="E148" t="s">
        <v>30</v>
      </c>
      <c r="F148">
        <v>4</v>
      </c>
      <c r="G148">
        <v>45000</v>
      </c>
      <c r="H148">
        <v>180000</v>
      </c>
      <c r="I148" t="s">
        <v>51</v>
      </c>
      <c r="J148" t="s">
        <v>60</v>
      </c>
    </row>
    <row r="149" spans="1:10" x14ac:dyDescent="0.35">
      <c r="A149" t="s">
        <v>273</v>
      </c>
      <c r="B149" s="2">
        <v>45986</v>
      </c>
      <c r="C149" t="s">
        <v>161</v>
      </c>
      <c r="D149" t="s">
        <v>198</v>
      </c>
      <c r="E149" t="s">
        <v>59</v>
      </c>
      <c r="F149">
        <v>4</v>
      </c>
      <c r="G149">
        <v>120000</v>
      </c>
      <c r="H149">
        <v>480000</v>
      </c>
      <c r="I149" t="s">
        <v>31</v>
      </c>
      <c r="J149" t="s">
        <v>37</v>
      </c>
    </row>
    <row r="150" spans="1:10" x14ac:dyDescent="0.35">
      <c r="A150" t="s">
        <v>274</v>
      </c>
      <c r="B150" s="2">
        <v>45987</v>
      </c>
      <c r="C150" t="s">
        <v>138</v>
      </c>
      <c r="D150" t="s">
        <v>107</v>
      </c>
      <c r="E150" t="s">
        <v>55</v>
      </c>
      <c r="F150">
        <v>5</v>
      </c>
      <c r="G150">
        <v>540000</v>
      </c>
      <c r="H150">
        <v>2700000</v>
      </c>
      <c r="I150" t="s">
        <v>51</v>
      </c>
      <c r="J150" t="s">
        <v>146</v>
      </c>
    </row>
    <row r="151" spans="1:10" x14ac:dyDescent="0.35">
      <c r="A151" t="s">
        <v>275</v>
      </c>
      <c r="B151" s="2">
        <v>45988</v>
      </c>
      <c r="C151" t="s">
        <v>28</v>
      </c>
      <c r="D151" t="s">
        <v>63</v>
      </c>
      <c r="E151" t="s">
        <v>66</v>
      </c>
      <c r="F151">
        <v>5</v>
      </c>
      <c r="G151">
        <v>45000</v>
      </c>
      <c r="H151">
        <v>225000</v>
      </c>
      <c r="I151" t="s">
        <v>31</v>
      </c>
      <c r="J151" t="s">
        <v>37</v>
      </c>
    </row>
    <row r="152" spans="1:10" x14ac:dyDescent="0.35">
      <c r="A152" t="s">
        <v>276</v>
      </c>
      <c r="B152" s="2">
        <v>45989</v>
      </c>
      <c r="C152" t="s">
        <v>68</v>
      </c>
      <c r="D152" t="s">
        <v>103</v>
      </c>
      <c r="E152" t="s">
        <v>41</v>
      </c>
      <c r="F152">
        <v>4</v>
      </c>
      <c r="G152">
        <v>120000</v>
      </c>
      <c r="H152">
        <v>480000</v>
      </c>
      <c r="I152" t="s">
        <v>36</v>
      </c>
      <c r="J152" t="s">
        <v>122</v>
      </c>
    </row>
    <row r="153" spans="1:10" x14ac:dyDescent="0.35">
      <c r="A153" t="s">
        <v>277</v>
      </c>
      <c r="B153" s="2">
        <v>45990</v>
      </c>
      <c r="C153" t="s">
        <v>167</v>
      </c>
      <c r="D153" t="s">
        <v>113</v>
      </c>
      <c r="E153" t="s">
        <v>50</v>
      </c>
      <c r="F153">
        <v>4</v>
      </c>
      <c r="G153">
        <v>120000</v>
      </c>
      <c r="H153">
        <v>480000</v>
      </c>
      <c r="I153" t="s">
        <v>36</v>
      </c>
      <c r="J153" t="s">
        <v>122</v>
      </c>
    </row>
    <row r="154" spans="1:10" x14ac:dyDescent="0.35">
      <c r="A154" t="s">
        <v>278</v>
      </c>
      <c r="B154" s="2">
        <v>45991</v>
      </c>
      <c r="C154" t="s">
        <v>117</v>
      </c>
      <c r="D154" t="s">
        <v>158</v>
      </c>
      <c r="E154" t="s">
        <v>41</v>
      </c>
      <c r="F154">
        <v>4</v>
      </c>
      <c r="G154">
        <v>28000</v>
      </c>
      <c r="H154">
        <v>112000</v>
      </c>
      <c r="I154" t="s">
        <v>51</v>
      </c>
      <c r="J154" t="s">
        <v>146</v>
      </c>
    </row>
    <row r="155" spans="1:10" x14ac:dyDescent="0.35">
      <c r="A155" t="s">
        <v>279</v>
      </c>
      <c r="B155" s="2">
        <v>45992</v>
      </c>
      <c r="C155" t="s">
        <v>28</v>
      </c>
      <c r="D155" t="s">
        <v>80</v>
      </c>
      <c r="E155" t="s">
        <v>30</v>
      </c>
      <c r="F155">
        <v>2</v>
      </c>
      <c r="G155">
        <v>185000</v>
      </c>
      <c r="H155">
        <v>370000</v>
      </c>
      <c r="I155" t="s">
        <v>31</v>
      </c>
      <c r="J155" t="s">
        <v>56</v>
      </c>
    </row>
    <row r="156" spans="1:10" x14ac:dyDescent="0.35">
      <c r="A156" t="s">
        <v>280</v>
      </c>
      <c r="B156" s="2">
        <v>45993</v>
      </c>
      <c r="C156" t="s">
        <v>167</v>
      </c>
      <c r="D156" t="s">
        <v>107</v>
      </c>
      <c r="E156" t="s">
        <v>55</v>
      </c>
      <c r="F156">
        <v>4</v>
      </c>
      <c r="G156">
        <v>28000</v>
      </c>
      <c r="H156">
        <v>112000</v>
      </c>
      <c r="I156" t="s">
        <v>31</v>
      </c>
      <c r="J156" t="s">
        <v>32</v>
      </c>
    </row>
    <row r="157" spans="1:10" x14ac:dyDescent="0.35">
      <c r="A157" t="s">
        <v>281</v>
      </c>
      <c r="B157" s="2">
        <v>45994</v>
      </c>
      <c r="C157" t="s">
        <v>53</v>
      </c>
      <c r="D157" t="s">
        <v>127</v>
      </c>
      <c r="E157" t="s">
        <v>55</v>
      </c>
      <c r="F157">
        <v>3</v>
      </c>
      <c r="G157">
        <v>120000</v>
      </c>
      <c r="H157">
        <v>360000</v>
      </c>
      <c r="I157" t="s">
        <v>36</v>
      </c>
      <c r="J157" t="s">
        <v>32</v>
      </c>
    </row>
    <row r="158" spans="1:10" x14ac:dyDescent="0.35">
      <c r="A158" t="s">
        <v>282</v>
      </c>
      <c r="B158" s="2">
        <v>45995</v>
      </c>
      <c r="C158" t="s">
        <v>106</v>
      </c>
      <c r="D158" t="s">
        <v>73</v>
      </c>
      <c r="E158" t="s">
        <v>59</v>
      </c>
      <c r="F158">
        <v>1</v>
      </c>
      <c r="G158">
        <v>18000</v>
      </c>
      <c r="H158">
        <v>18000</v>
      </c>
      <c r="I158" t="s">
        <v>36</v>
      </c>
      <c r="J158" t="s">
        <v>122</v>
      </c>
    </row>
    <row r="159" spans="1:10" x14ac:dyDescent="0.35">
      <c r="A159" t="s">
        <v>283</v>
      </c>
      <c r="B159" s="2">
        <v>45996</v>
      </c>
      <c r="C159" t="s">
        <v>102</v>
      </c>
      <c r="D159" t="s">
        <v>246</v>
      </c>
      <c r="E159" t="s">
        <v>70</v>
      </c>
      <c r="F159">
        <v>4</v>
      </c>
      <c r="G159">
        <v>45000</v>
      </c>
      <c r="H159">
        <v>180000</v>
      </c>
      <c r="I159" t="s">
        <v>31</v>
      </c>
      <c r="J159" t="s">
        <v>122</v>
      </c>
    </row>
    <row r="160" spans="1:10" x14ac:dyDescent="0.35">
      <c r="A160" t="s">
        <v>284</v>
      </c>
      <c r="B160" s="2">
        <v>45997</v>
      </c>
      <c r="C160" t="s">
        <v>120</v>
      </c>
      <c r="D160" t="s">
        <v>65</v>
      </c>
      <c r="E160" t="s">
        <v>59</v>
      </c>
      <c r="F160">
        <v>1</v>
      </c>
      <c r="G160">
        <v>28000</v>
      </c>
      <c r="H160">
        <v>28000</v>
      </c>
      <c r="I160" t="s">
        <v>31</v>
      </c>
      <c r="J160" t="s">
        <v>84</v>
      </c>
    </row>
    <row r="161" spans="1:10" x14ac:dyDescent="0.35">
      <c r="A161" t="s">
        <v>285</v>
      </c>
      <c r="B161" s="2">
        <v>45998</v>
      </c>
      <c r="C161" t="s">
        <v>145</v>
      </c>
      <c r="D161" t="s">
        <v>92</v>
      </c>
      <c r="E161" t="s">
        <v>70</v>
      </c>
      <c r="F161">
        <v>2</v>
      </c>
      <c r="G161">
        <v>185000</v>
      </c>
      <c r="H161">
        <v>370000</v>
      </c>
      <c r="I161" t="s">
        <v>31</v>
      </c>
      <c r="J161" t="s">
        <v>46</v>
      </c>
    </row>
    <row r="162" spans="1:10" x14ac:dyDescent="0.35">
      <c r="A162" t="s">
        <v>286</v>
      </c>
      <c r="B162" s="2">
        <v>45999</v>
      </c>
      <c r="C162" t="s">
        <v>75</v>
      </c>
      <c r="D162" t="s">
        <v>158</v>
      </c>
      <c r="E162" t="s">
        <v>70</v>
      </c>
      <c r="F162">
        <v>1</v>
      </c>
      <c r="G162">
        <v>68000</v>
      </c>
      <c r="H162">
        <v>68000</v>
      </c>
      <c r="I162" t="s">
        <v>31</v>
      </c>
      <c r="J162" t="s">
        <v>84</v>
      </c>
    </row>
    <row r="163" spans="1:10" x14ac:dyDescent="0.35">
      <c r="A163" t="s">
        <v>287</v>
      </c>
      <c r="B163" s="2">
        <v>46000</v>
      </c>
      <c r="C163" t="s">
        <v>75</v>
      </c>
      <c r="D163" t="s">
        <v>208</v>
      </c>
      <c r="E163" t="s">
        <v>50</v>
      </c>
      <c r="F163">
        <v>2</v>
      </c>
      <c r="G163">
        <v>280000</v>
      </c>
      <c r="H163">
        <v>560000</v>
      </c>
      <c r="I163" t="s">
        <v>31</v>
      </c>
      <c r="J163" t="s">
        <v>84</v>
      </c>
    </row>
    <row r="164" spans="1:10" x14ac:dyDescent="0.35">
      <c r="A164" t="s">
        <v>288</v>
      </c>
      <c r="B164" s="2">
        <v>46001</v>
      </c>
      <c r="C164" t="s">
        <v>109</v>
      </c>
      <c r="D164" t="s">
        <v>125</v>
      </c>
      <c r="E164" t="s">
        <v>59</v>
      </c>
      <c r="F164">
        <v>3</v>
      </c>
      <c r="G164">
        <v>120000</v>
      </c>
      <c r="H164">
        <v>360000</v>
      </c>
      <c r="I164" t="s">
        <v>31</v>
      </c>
      <c r="J164" t="s">
        <v>56</v>
      </c>
    </row>
    <row r="165" spans="1:10" x14ac:dyDescent="0.35">
      <c r="A165" t="s">
        <v>289</v>
      </c>
      <c r="B165" s="2">
        <v>46002</v>
      </c>
      <c r="C165" t="s">
        <v>82</v>
      </c>
      <c r="D165" t="s">
        <v>127</v>
      </c>
      <c r="E165" t="s">
        <v>66</v>
      </c>
      <c r="F165">
        <v>2</v>
      </c>
      <c r="G165">
        <v>540000</v>
      </c>
      <c r="H165">
        <v>1080000</v>
      </c>
      <c r="I165" t="s">
        <v>51</v>
      </c>
      <c r="J165" t="s">
        <v>32</v>
      </c>
    </row>
    <row r="166" spans="1:10" x14ac:dyDescent="0.35">
      <c r="A166" t="s">
        <v>290</v>
      </c>
      <c r="B166" s="2">
        <v>46003</v>
      </c>
      <c r="C166" t="s">
        <v>161</v>
      </c>
      <c r="D166" t="s">
        <v>139</v>
      </c>
      <c r="E166" t="s">
        <v>35</v>
      </c>
      <c r="F166">
        <v>2</v>
      </c>
      <c r="G166">
        <v>68000</v>
      </c>
      <c r="H166">
        <v>136000</v>
      </c>
      <c r="I166" t="s">
        <v>31</v>
      </c>
      <c r="J166" t="s">
        <v>56</v>
      </c>
    </row>
    <row r="167" spans="1:10" x14ac:dyDescent="0.35">
      <c r="A167" t="s">
        <v>291</v>
      </c>
      <c r="B167" s="2">
        <v>46004</v>
      </c>
      <c r="C167" t="s">
        <v>94</v>
      </c>
      <c r="D167" t="s">
        <v>80</v>
      </c>
      <c r="E167" t="s">
        <v>35</v>
      </c>
      <c r="F167">
        <v>5</v>
      </c>
      <c r="G167">
        <v>95000</v>
      </c>
      <c r="H167">
        <v>475000</v>
      </c>
      <c r="I167" t="s">
        <v>36</v>
      </c>
      <c r="J167" t="s">
        <v>56</v>
      </c>
    </row>
    <row r="168" spans="1:10" x14ac:dyDescent="0.35">
      <c r="A168" t="s">
        <v>292</v>
      </c>
      <c r="B168" s="2">
        <v>46005</v>
      </c>
      <c r="C168" t="s">
        <v>106</v>
      </c>
      <c r="D168" t="s">
        <v>90</v>
      </c>
      <c r="E168" t="s">
        <v>59</v>
      </c>
      <c r="F168">
        <v>4</v>
      </c>
      <c r="G168">
        <v>365000</v>
      </c>
      <c r="H168">
        <v>1460000</v>
      </c>
      <c r="I168" t="s">
        <v>51</v>
      </c>
      <c r="J168" t="s">
        <v>146</v>
      </c>
    </row>
    <row r="169" spans="1:10" x14ac:dyDescent="0.35">
      <c r="A169" t="s">
        <v>293</v>
      </c>
      <c r="B169" s="2">
        <v>46006</v>
      </c>
      <c r="C169" t="s">
        <v>53</v>
      </c>
      <c r="D169" t="s">
        <v>158</v>
      </c>
      <c r="E169" t="s">
        <v>59</v>
      </c>
      <c r="F169">
        <v>4</v>
      </c>
      <c r="G169">
        <v>185000</v>
      </c>
      <c r="H169">
        <v>740000</v>
      </c>
      <c r="I169" t="s">
        <v>31</v>
      </c>
      <c r="J169" t="s">
        <v>32</v>
      </c>
    </row>
    <row r="170" spans="1:10" x14ac:dyDescent="0.35">
      <c r="A170" t="s">
        <v>294</v>
      </c>
      <c r="B170" s="2">
        <v>46007</v>
      </c>
      <c r="C170" t="s">
        <v>97</v>
      </c>
      <c r="D170" t="s">
        <v>175</v>
      </c>
      <c r="E170" t="s">
        <v>41</v>
      </c>
      <c r="F170">
        <v>3</v>
      </c>
      <c r="G170">
        <v>540000</v>
      </c>
      <c r="H170">
        <v>1620000</v>
      </c>
      <c r="I170" t="s">
        <v>36</v>
      </c>
      <c r="J170" t="s">
        <v>46</v>
      </c>
    </row>
    <row r="171" spans="1:10" x14ac:dyDescent="0.35">
      <c r="A171" t="s">
        <v>295</v>
      </c>
      <c r="B171" s="2">
        <v>46008</v>
      </c>
      <c r="C171" t="s">
        <v>135</v>
      </c>
      <c r="D171" t="s">
        <v>113</v>
      </c>
      <c r="E171" t="s">
        <v>50</v>
      </c>
      <c r="F171">
        <v>3</v>
      </c>
      <c r="G171">
        <v>365000</v>
      </c>
      <c r="H171">
        <v>1095000</v>
      </c>
      <c r="I171" t="s">
        <v>51</v>
      </c>
      <c r="J171" t="s">
        <v>37</v>
      </c>
    </row>
    <row r="172" spans="1:10" x14ac:dyDescent="0.35">
      <c r="A172" t="s">
        <v>296</v>
      </c>
      <c r="B172" s="2">
        <v>46009</v>
      </c>
      <c r="C172" t="s">
        <v>94</v>
      </c>
      <c r="D172" t="s">
        <v>246</v>
      </c>
      <c r="E172" t="s">
        <v>59</v>
      </c>
      <c r="F172">
        <v>4</v>
      </c>
      <c r="G172">
        <v>185000</v>
      </c>
      <c r="H172">
        <v>740000</v>
      </c>
      <c r="I172" t="s">
        <v>36</v>
      </c>
      <c r="J172" t="s">
        <v>122</v>
      </c>
    </row>
    <row r="173" spans="1:10" x14ac:dyDescent="0.35">
      <c r="A173" t="s">
        <v>297</v>
      </c>
      <c r="B173" s="2">
        <v>46010</v>
      </c>
      <c r="C173" t="s">
        <v>120</v>
      </c>
      <c r="D173" t="s">
        <v>90</v>
      </c>
      <c r="E173" t="s">
        <v>41</v>
      </c>
      <c r="F173">
        <v>5</v>
      </c>
      <c r="G173">
        <v>18000</v>
      </c>
      <c r="H173">
        <v>90000</v>
      </c>
      <c r="I173" t="s">
        <v>31</v>
      </c>
      <c r="J173" t="s">
        <v>122</v>
      </c>
    </row>
    <row r="174" spans="1:10" x14ac:dyDescent="0.35">
      <c r="A174" t="s">
        <v>298</v>
      </c>
      <c r="B174" s="2">
        <v>46011</v>
      </c>
      <c r="C174" t="s">
        <v>94</v>
      </c>
      <c r="D174" t="s">
        <v>113</v>
      </c>
      <c r="E174" t="s">
        <v>70</v>
      </c>
      <c r="F174">
        <v>4</v>
      </c>
      <c r="G174">
        <v>280000</v>
      </c>
      <c r="H174">
        <v>1120000</v>
      </c>
      <c r="I174" t="s">
        <v>31</v>
      </c>
      <c r="J174" t="s">
        <v>46</v>
      </c>
    </row>
    <row r="175" spans="1:10" x14ac:dyDescent="0.35">
      <c r="A175" t="s">
        <v>299</v>
      </c>
      <c r="B175" s="2">
        <v>46012</v>
      </c>
      <c r="C175" t="s">
        <v>161</v>
      </c>
      <c r="D175" t="s">
        <v>110</v>
      </c>
      <c r="E175" t="s">
        <v>55</v>
      </c>
      <c r="F175">
        <v>5</v>
      </c>
      <c r="G175">
        <v>68000</v>
      </c>
      <c r="H175">
        <v>340000</v>
      </c>
      <c r="I175" t="s">
        <v>31</v>
      </c>
      <c r="J175" t="s">
        <v>56</v>
      </c>
    </row>
    <row r="176" spans="1:10" x14ac:dyDescent="0.35">
      <c r="A176" t="s">
        <v>300</v>
      </c>
      <c r="B176" s="2">
        <v>46013</v>
      </c>
      <c r="C176" t="s">
        <v>43</v>
      </c>
      <c r="D176" t="s">
        <v>248</v>
      </c>
      <c r="E176" t="s">
        <v>55</v>
      </c>
      <c r="F176">
        <v>3</v>
      </c>
      <c r="G176">
        <v>45000</v>
      </c>
      <c r="H176">
        <v>135000</v>
      </c>
      <c r="I176" t="s">
        <v>31</v>
      </c>
      <c r="J176" t="s">
        <v>84</v>
      </c>
    </row>
    <row r="177" spans="1:10" x14ac:dyDescent="0.35">
      <c r="A177" t="s">
        <v>301</v>
      </c>
      <c r="B177" s="2">
        <v>46014</v>
      </c>
      <c r="C177" t="s">
        <v>177</v>
      </c>
      <c r="D177" t="s">
        <v>98</v>
      </c>
      <c r="E177" t="s">
        <v>70</v>
      </c>
      <c r="F177">
        <v>1</v>
      </c>
      <c r="G177">
        <v>185000</v>
      </c>
      <c r="H177">
        <v>185000</v>
      </c>
      <c r="I177" t="s">
        <v>51</v>
      </c>
      <c r="J177" t="s">
        <v>146</v>
      </c>
    </row>
    <row r="178" spans="1:10" x14ac:dyDescent="0.35">
      <c r="A178" t="s">
        <v>302</v>
      </c>
      <c r="B178" s="2">
        <v>46015</v>
      </c>
      <c r="C178" t="s">
        <v>94</v>
      </c>
      <c r="D178" t="s">
        <v>153</v>
      </c>
      <c r="E178" t="s">
        <v>95</v>
      </c>
      <c r="F178">
        <v>3</v>
      </c>
      <c r="G178">
        <v>45000</v>
      </c>
      <c r="H178">
        <v>135000</v>
      </c>
      <c r="I178" t="s">
        <v>51</v>
      </c>
      <c r="J178" t="s">
        <v>56</v>
      </c>
    </row>
    <row r="179" spans="1:10" x14ac:dyDescent="0.35">
      <c r="A179" t="s">
        <v>303</v>
      </c>
      <c r="B179" s="2">
        <v>46016</v>
      </c>
      <c r="C179" t="s">
        <v>120</v>
      </c>
      <c r="D179" t="s">
        <v>188</v>
      </c>
      <c r="E179" t="s">
        <v>41</v>
      </c>
      <c r="F179">
        <v>3</v>
      </c>
      <c r="G179">
        <v>280000</v>
      </c>
      <c r="H179">
        <v>840000</v>
      </c>
      <c r="I179" t="s">
        <v>36</v>
      </c>
      <c r="J179" t="s">
        <v>122</v>
      </c>
    </row>
    <row r="180" spans="1:10" x14ac:dyDescent="0.35">
      <c r="A180" t="s">
        <v>304</v>
      </c>
      <c r="B180" s="2">
        <v>46017</v>
      </c>
      <c r="C180" t="s">
        <v>161</v>
      </c>
      <c r="D180" t="s">
        <v>90</v>
      </c>
      <c r="E180" t="s">
        <v>41</v>
      </c>
      <c r="F180">
        <v>2</v>
      </c>
      <c r="G180">
        <v>120000</v>
      </c>
      <c r="H180">
        <v>240000</v>
      </c>
      <c r="I180" t="s">
        <v>31</v>
      </c>
      <c r="J180" t="s">
        <v>60</v>
      </c>
    </row>
    <row r="181" spans="1:10" x14ac:dyDescent="0.35">
      <c r="A181" t="s">
        <v>305</v>
      </c>
      <c r="B181" s="2">
        <v>46018</v>
      </c>
      <c r="C181" t="s">
        <v>68</v>
      </c>
      <c r="D181" t="s">
        <v>69</v>
      </c>
      <c r="E181" t="s">
        <v>70</v>
      </c>
      <c r="F181">
        <v>2</v>
      </c>
      <c r="G181">
        <v>95000</v>
      </c>
      <c r="H181">
        <v>190000</v>
      </c>
      <c r="I181" t="s">
        <v>36</v>
      </c>
      <c r="J181" t="s">
        <v>84</v>
      </c>
    </row>
    <row r="182" spans="1:10" x14ac:dyDescent="0.35">
      <c r="A182" t="s">
        <v>306</v>
      </c>
      <c r="B182" s="2">
        <v>46019</v>
      </c>
      <c r="C182" t="s">
        <v>75</v>
      </c>
      <c r="D182" t="s">
        <v>78</v>
      </c>
      <c r="E182" t="s">
        <v>66</v>
      </c>
      <c r="F182">
        <v>2</v>
      </c>
      <c r="G182">
        <v>68000</v>
      </c>
      <c r="H182">
        <v>136000</v>
      </c>
      <c r="I182" t="s">
        <v>51</v>
      </c>
      <c r="J182" t="s">
        <v>122</v>
      </c>
    </row>
    <row r="183" spans="1:10" x14ac:dyDescent="0.35">
      <c r="A183" t="s">
        <v>307</v>
      </c>
      <c r="B183" s="2">
        <v>46020</v>
      </c>
      <c r="C183" t="s">
        <v>177</v>
      </c>
      <c r="D183" t="s">
        <v>40</v>
      </c>
      <c r="E183" t="s">
        <v>45</v>
      </c>
      <c r="F183">
        <v>2</v>
      </c>
      <c r="G183">
        <v>280000</v>
      </c>
      <c r="H183">
        <v>560000</v>
      </c>
      <c r="I183" t="s">
        <v>31</v>
      </c>
      <c r="J183" t="s">
        <v>60</v>
      </c>
    </row>
    <row r="184" spans="1:10" x14ac:dyDescent="0.35">
      <c r="A184" t="s">
        <v>308</v>
      </c>
      <c r="B184" s="2">
        <v>46021</v>
      </c>
      <c r="C184" t="s">
        <v>28</v>
      </c>
      <c r="D184" t="s">
        <v>73</v>
      </c>
      <c r="E184" t="s">
        <v>30</v>
      </c>
      <c r="F184">
        <v>5</v>
      </c>
      <c r="G184">
        <v>280000</v>
      </c>
      <c r="H184">
        <v>1400000</v>
      </c>
      <c r="I184" t="s">
        <v>31</v>
      </c>
      <c r="J184" t="s">
        <v>56</v>
      </c>
    </row>
    <row r="185" spans="1:10" x14ac:dyDescent="0.35">
      <c r="A185" t="s">
        <v>309</v>
      </c>
      <c r="B185" s="2">
        <v>46022</v>
      </c>
      <c r="C185" t="s">
        <v>135</v>
      </c>
      <c r="D185" t="s">
        <v>113</v>
      </c>
      <c r="E185" t="s">
        <v>70</v>
      </c>
      <c r="F185">
        <v>4</v>
      </c>
      <c r="G185">
        <v>18000</v>
      </c>
      <c r="H185">
        <v>72000</v>
      </c>
      <c r="I185" t="s">
        <v>51</v>
      </c>
      <c r="J185" t="s">
        <v>46</v>
      </c>
    </row>
    <row r="186" spans="1:10" x14ac:dyDescent="0.35">
      <c r="A186" t="s">
        <v>310</v>
      </c>
      <c r="B186" s="2">
        <v>46023</v>
      </c>
      <c r="C186" t="s">
        <v>167</v>
      </c>
      <c r="D186" t="s">
        <v>127</v>
      </c>
      <c r="E186" t="s">
        <v>59</v>
      </c>
      <c r="F186">
        <v>1</v>
      </c>
      <c r="G186">
        <v>365000</v>
      </c>
      <c r="H186">
        <v>365000</v>
      </c>
      <c r="I186" t="s">
        <v>51</v>
      </c>
      <c r="J186" t="s">
        <v>46</v>
      </c>
    </row>
    <row r="187" spans="1:10" x14ac:dyDescent="0.35">
      <c r="A187" t="s">
        <v>311</v>
      </c>
      <c r="B187" s="2">
        <v>46024</v>
      </c>
      <c r="C187" t="s">
        <v>43</v>
      </c>
      <c r="D187" t="s">
        <v>172</v>
      </c>
      <c r="E187" t="s">
        <v>59</v>
      </c>
      <c r="F187">
        <v>3</v>
      </c>
      <c r="G187">
        <v>95000</v>
      </c>
      <c r="H187">
        <v>285000</v>
      </c>
      <c r="I187" t="s">
        <v>51</v>
      </c>
      <c r="J187" t="s">
        <v>84</v>
      </c>
    </row>
    <row r="188" spans="1:10" x14ac:dyDescent="0.35">
      <c r="A188" t="s">
        <v>312</v>
      </c>
      <c r="B188" s="2">
        <v>46025</v>
      </c>
      <c r="C188" t="s">
        <v>43</v>
      </c>
      <c r="D188" t="s">
        <v>175</v>
      </c>
      <c r="E188" t="s">
        <v>50</v>
      </c>
      <c r="F188">
        <v>5</v>
      </c>
      <c r="G188">
        <v>68000</v>
      </c>
      <c r="H188">
        <v>340000</v>
      </c>
      <c r="I188" t="s">
        <v>51</v>
      </c>
      <c r="J188" t="s">
        <v>122</v>
      </c>
    </row>
    <row r="189" spans="1:10" x14ac:dyDescent="0.35">
      <c r="A189" t="s">
        <v>313</v>
      </c>
      <c r="B189" s="2">
        <v>46026</v>
      </c>
      <c r="C189" t="s">
        <v>68</v>
      </c>
      <c r="D189" t="s">
        <v>107</v>
      </c>
      <c r="E189" t="s">
        <v>70</v>
      </c>
      <c r="F189">
        <v>1</v>
      </c>
      <c r="G189">
        <v>120000</v>
      </c>
      <c r="H189">
        <v>120000</v>
      </c>
      <c r="I189" t="s">
        <v>51</v>
      </c>
      <c r="J189" t="s">
        <v>32</v>
      </c>
    </row>
    <row r="190" spans="1:10" x14ac:dyDescent="0.35">
      <c r="A190" t="s">
        <v>314</v>
      </c>
      <c r="B190" s="2">
        <v>46027</v>
      </c>
      <c r="C190" t="s">
        <v>138</v>
      </c>
      <c r="D190" t="s">
        <v>78</v>
      </c>
      <c r="E190" t="s">
        <v>50</v>
      </c>
      <c r="F190">
        <v>5</v>
      </c>
      <c r="G190">
        <v>120000</v>
      </c>
      <c r="H190">
        <v>600000</v>
      </c>
      <c r="I190" t="s">
        <v>31</v>
      </c>
      <c r="J190" t="s">
        <v>60</v>
      </c>
    </row>
    <row r="191" spans="1:10" x14ac:dyDescent="0.35">
      <c r="A191" t="s">
        <v>315</v>
      </c>
      <c r="B191" s="2">
        <v>46028</v>
      </c>
      <c r="C191" t="s">
        <v>117</v>
      </c>
      <c r="D191" t="s">
        <v>44</v>
      </c>
      <c r="E191" t="s">
        <v>70</v>
      </c>
      <c r="F191">
        <v>5</v>
      </c>
      <c r="G191">
        <v>28000</v>
      </c>
      <c r="H191">
        <v>140000</v>
      </c>
      <c r="I191" t="s">
        <v>51</v>
      </c>
      <c r="J191" t="s">
        <v>146</v>
      </c>
    </row>
    <row r="192" spans="1:10" x14ac:dyDescent="0.35">
      <c r="A192" t="s">
        <v>316</v>
      </c>
      <c r="B192" s="2">
        <v>46029</v>
      </c>
      <c r="C192" t="s">
        <v>236</v>
      </c>
      <c r="D192" t="s">
        <v>58</v>
      </c>
      <c r="E192" t="s">
        <v>41</v>
      </c>
      <c r="F192">
        <v>3</v>
      </c>
      <c r="G192">
        <v>280000</v>
      </c>
      <c r="H192">
        <v>840000</v>
      </c>
      <c r="I192" t="s">
        <v>31</v>
      </c>
      <c r="J192" t="s">
        <v>122</v>
      </c>
    </row>
    <row r="193" spans="1:10" x14ac:dyDescent="0.35">
      <c r="A193" t="s">
        <v>317</v>
      </c>
      <c r="B193" s="2">
        <v>46030</v>
      </c>
      <c r="C193" t="s">
        <v>72</v>
      </c>
      <c r="D193" t="s">
        <v>86</v>
      </c>
      <c r="E193" t="s">
        <v>30</v>
      </c>
      <c r="F193">
        <v>4</v>
      </c>
      <c r="G193">
        <v>185000</v>
      </c>
      <c r="H193">
        <v>740000</v>
      </c>
      <c r="I193" t="s">
        <v>31</v>
      </c>
      <c r="J193" t="s">
        <v>146</v>
      </c>
    </row>
    <row r="194" spans="1:10" x14ac:dyDescent="0.35">
      <c r="A194" t="s">
        <v>318</v>
      </c>
      <c r="B194" s="2">
        <v>46031</v>
      </c>
      <c r="C194" t="s">
        <v>28</v>
      </c>
      <c r="D194" t="s">
        <v>44</v>
      </c>
      <c r="E194" t="s">
        <v>41</v>
      </c>
      <c r="F194">
        <v>2</v>
      </c>
      <c r="G194">
        <v>18000</v>
      </c>
      <c r="H194">
        <v>36000</v>
      </c>
      <c r="I194" t="s">
        <v>51</v>
      </c>
      <c r="J194" t="s">
        <v>122</v>
      </c>
    </row>
    <row r="195" spans="1:10" x14ac:dyDescent="0.35">
      <c r="A195" t="s">
        <v>319</v>
      </c>
      <c r="B195" s="2">
        <v>46032</v>
      </c>
      <c r="C195" t="s">
        <v>133</v>
      </c>
      <c r="D195" t="s">
        <v>153</v>
      </c>
      <c r="E195" t="s">
        <v>45</v>
      </c>
      <c r="F195">
        <v>4</v>
      </c>
      <c r="G195">
        <v>95000</v>
      </c>
      <c r="H195">
        <v>380000</v>
      </c>
      <c r="I195" t="s">
        <v>51</v>
      </c>
      <c r="J195" t="s">
        <v>32</v>
      </c>
    </row>
    <row r="196" spans="1:10" x14ac:dyDescent="0.35">
      <c r="A196" t="s">
        <v>320</v>
      </c>
      <c r="B196" s="2">
        <v>46033</v>
      </c>
      <c r="C196" t="s">
        <v>34</v>
      </c>
      <c r="D196" t="s">
        <v>188</v>
      </c>
      <c r="E196" t="s">
        <v>55</v>
      </c>
      <c r="F196">
        <v>3</v>
      </c>
      <c r="G196">
        <v>120000</v>
      </c>
      <c r="H196">
        <v>360000</v>
      </c>
      <c r="I196" t="s">
        <v>31</v>
      </c>
      <c r="J196" t="s">
        <v>32</v>
      </c>
    </row>
    <row r="197" spans="1:10" x14ac:dyDescent="0.35">
      <c r="A197" t="s">
        <v>321</v>
      </c>
      <c r="B197" s="2">
        <v>46034</v>
      </c>
      <c r="C197" t="s">
        <v>39</v>
      </c>
      <c r="D197" t="s">
        <v>40</v>
      </c>
      <c r="E197" t="s">
        <v>35</v>
      </c>
      <c r="F197">
        <v>3</v>
      </c>
      <c r="G197">
        <v>68000</v>
      </c>
      <c r="H197">
        <v>204000</v>
      </c>
      <c r="I197" t="s">
        <v>51</v>
      </c>
      <c r="J197" t="s">
        <v>84</v>
      </c>
    </row>
    <row r="198" spans="1:10" x14ac:dyDescent="0.35">
      <c r="A198" t="s">
        <v>322</v>
      </c>
      <c r="B198" s="2">
        <v>46035</v>
      </c>
      <c r="C198" t="s">
        <v>88</v>
      </c>
      <c r="D198" t="s">
        <v>73</v>
      </c>
      <c r="E198" t="s">
        <v>70</v>
      </c>
      <c r="F198">
        <v>3</v>
      </c>
      <c r="G198">
        <v>28000</v>
      </c>
      <c r="H198">
        <v>84000</v>
      </c>
      <c r="I198" t="s">
        <v>51</v>
      </c>
      <c r="J198" t="s">
        <v>84</v>
      </c>
    </row>
    <row r="199" spans="1:10" x14ac:dyDescent="0.35">
      <c r="A199" t="s">
        <v>323</v>
      </c>
      <c r="B199" s="2">
        <v>46036</v>
      </c>
      <c r="C199" t="s">
        <v>109</v>
      </c>
      <c r="D199" t="s">
        <v>107</v>
      </c>
      <c r="E199" t="s">
        <v>45</v>
      </c>
      <c r="F199">
        <v>1</v>
      </c>
      <c r="G199">
        <v>68000</v>
      </c>
      <c r="H199">
        <v>68000</v>
      </c>
      <c r="I199" t="s">
        <v>51</v>
      </c>
      <c r="J199" t="s">
        <v>32</v>
      </c>
    </row>
    <row r="200" spans="1:10" x14ac:dyDescent="0.35">
      <c r="A200" t="s">
        <v>324</v>
      </c>
      <c r="B200" s="2">
        <v>46037</v>
      </c>
      <c r="C200" t="s">
        <v>161</v>
      </c>
      <c r="D200" t="s">
        <v>141</v>
      </c>
      <c r="E200" t="s">
        <v>55</v>
      </c>
      <c r="F200">
        <v>4</v>
      </c>
      <c r="G200">
        <v>18000</v>
      </c>
      <c r="H200">
        <v>72000</v>
      </c>
      <c r="I200" t="s">
        <v>36</v>
      </c>
      <c r="J200" t="s">
        <v>37</v>
      </c>
    </row>
    <row r="201" spans="1:10" x14ac:dyDescent="0.35">
      <c r="A201" t="s">
        <v>325</v>
      </c>
      <c r="B201" s="2">
        <v>46038</v>
      </c>
      <c r="C201" t="s">
        <v>75</v>
      </c>
      <c r="D201" t="s">
        <v>216</v>
      </c>
      <c r="E201" t="s">
        <v>95</v>
      </c>
      <c r="F201">
        <v>4</v>
      </c>
      <c r="G201">
        <v>185000</v>
      </c>
      <c r="H201">
        <v>740000</v>
      </c>
      <c r="I201" t="s">
        <v>31</v>
      </c>
      <c r="J201" t="s">
        <v>32</v>
      </c>
    </row>
    <row r="202" spans="1:10" x14ac:dyDescent="0.35">
      <c r="A202" t="s">
        <v>326</v>
      </c>
      <c r="B202" s="2">
        <v>46039</v>
      </c>
      <c r="C202" t="s">
        <v>28</v>
      </c>
      <c r="D202" t="s">
        <v>253</v>
      </c>
      <c r="E202" t="s">
        <v>30</v>
      </c>
      <c r="F202">
        <v>5</v>
      </c>
      <c r="G202">
        <v>28000</v>
      </c>
      <c r="H202">
        <v>140000</v>
      </c>
      <c r="I202" t="s">
        <v>36</v>
      </c>
      <c r="J202" t="s">
        <v>46</v>
      </c>
    </row>
    <row r="203" spans="1:10" x14ac:dyDescent="0.35">
      <c r="A203" t="s">
        <v>327</v>
      </c>
      <c r="B203" s="2">
        <v>46040</v>
      </c>
      <c r="C203" t="s">
        <v>236</v>
      </c>
      <c r="D203" t="s">
        <v>269</v>
      </c>
      <c r="E203" t="s">
        <v>50</v>
      </c>
      <c r="F203">
        <v>5</v>
      </c>
      <c r="G203">
        <v>28000</v>
      </c>
      <c r="H203">
        <v>140000</v>
      </c>
      <c r="I203" t="s">
        <v>51</v>
      </c>
      <c r="J203" t="s">
        <v>46</v>
      </c>
    </row>
    <row r="204" spans="1:10" x14ac:dyDescent="0.35">
      <c r="A204" t="s">
        <v>328</v>
      </c>
      <c r="B204" s="2">
        <v>46041</v>
      </c>
      <c r="C204" t="s">
        <v>43</v>
      </c>
      <c r="D204" t="s">
        <v>69</v>
      </c>
      <c r="E204" t="s">
        <v>50</v>
      </c>
      <c r="F204">
        <v>5</v>
      </c>
      <c r="G204">
        <v>365000</v>
      </c>
      <c r="H204">
        <v>1825000</v>
      </c>
      <c r="I204" t="s">
        <v>36</v>
      </c>
      <c r="J204" t="s">
        <v>37</v>
      </c>
    </row>
    <row r="205" spans="1:10" x14ac:dyDescent="0.35">
      <c r="A205" t="s">
        <v>329</v>
      </c>
      <c r="B205" s="2">
        <v>46042</v>
      </c>
      <c r="C205" t="s">
        <v>48</v>
      </c>
      <c r="D205" t="s">
        <v>113</v>
      </c>
      <c r="E205" t="s">
        <v>41</v>
      </c>
      <c r="F205">
        <v>3</v>
      </c>
      <c r="G205">
        <v>95000</v>
      </c>
      <c r="H205">
        <v>285000</v>
      </c>
      <c r="I205" t="s">
        <v>51</v>
      </c>
      <c r="J205" t="s">
        <v>56</v>
      </c>
    </row>
    <row r="206" spans="1:10" x14ac:dyDescent="0.35">
      <c r="A206" t="s">
        <v>330</v>
      </c>
      <c r="B206" s="2">
        <v>46043</v>
      </c>
      <c r="C206" t="s">
        <v>39</v>
      </c>
      <c r="D206" t="s">
        <v>110</v>
      </c>
      <c r="E206" t="s">
        <v>59</v>
      </c>
      <c r="F206">
        <v>4</v>
      </c>
      <c r="G206">
        <v>28000</v>
      </c>
      <c r="H206">
        <v>112000</v>
      </c>
      <c r="I206" t="s">
        <v>36</v>
      </c>
      <c r="J206" t="s">
        <v>60</v>
      </c>
    </row>
    <row r="207" spans="1:10" x14ac:dyDescent="0.35">
      <c r="A207" t="s">
        <v>331</v>
      </c>
      <c r="B207" s="2">
        <v>46044</v>
      </c>
      <c r="C207" t="s">
        <v>88</v>
      </c>
      <c r="D207" t="s">
        <v>183</v>
      </c>
      <c r="E207" t="s">
        <v>55</v>
      </c>
      <c r="F207">
        <v>3</v>
      </c>
      <c r="G207">
        <v>365000</v>
      </c>
      <c r="H207">
        <v>1095000</v>
      </c>
      <c r="I207" t="s">
        <v>51</v>
      </c>
      <c r="J207" t="s">
        <v>56</v>
      </c>
    </row>
    <row r="208" spans="1:10" x14ac:dyDescent="0.35">
      <c r="A208" t="s">
        <v>332</v>
      </c>
      <c r="B208" s="2">
        <v>46045</v>
      </c>
      <c r="C208" t="s">
        <v>236</v>
      </c>
      <c r="D208" t="s">
        <v>29</v>
      </c>
      <c r="E208" t="s">
        <v>95</v>
      </c>
      <c r="F208">
        <v>1</v>
      </c>
      <c r="G208">
        <v>365000</v>
      </c>
      <c r="H208">
        <v>365000</v>
      </c>
      <c r="I208" t="s">
        <v>36</v>
      </c>
      <c r="J208" t="s">
        <v>146</v>
      </c>
    </row>
    <row r="209" spans="1:10" x14ac:dyDescent="0.35">
      <c r="A209" t="s">
        <v>333</v>
      </c>
      <c r="B209" s="2">
        <v>46046</v>
      </c>
      <c r="C209" t="s">
        <v>28</v>
      </c>
      <c r="D209" t="s">
        <v>92</v>
      </c>
      <c r="E209" t="s">
        <v>45</v>
      </c>
      <c r="F209">
        <v>5</v>
      </c>
      <c r="G209">
        <v>18000</v>
      </c>
      <c r="H209">
        <v>90000</v>
      </c>
      <c r="I209" t="s">
        <v>36</v>
      </c>
      <c r="J209" t="s">
        <v>56</v>
      </c>
    </row>
    <row r="210" spans="1:10" x14ac:dyDescent="0.35">
      <c r="A210" t="s">
        <v>334</v>
      </c>
      <c r="B210" s="2">
        <v>46047</v>
      </c>
      <c r="C210" t="s">
        <v>135</v>
      </c>
      <c r="D210" t="s">
        <v>335</v>
      </c>
      <c r="E210" t="s">
        <v>30</v>
      </c>
      <c r="F210">
        <v>3</v>
      </c>
      <c r="G210">
        <v>45000</v>
      </c>
      <c r="H210">
        <v>135000</v>
      </c>
      <c r="I210" t="s">
        <v>36</v>
      </c>
      <c r="J210" t="s">
        <v>122</v>
      </c>
    </row>
    <row r="211" spans="1:10" x14ac:dyDescent="0.35">
      <c r="A211" t="s">
        <v>336</v>
      </c>
      <c r="B211" s="2">
        <v>46048</v>
      </c>
      <c r="C211" t="s">
        <v>72</v>
      </c>
      <c r="D211" t="s">
        <v>248</v>
      </c>
      <c r="E211" t="s">
        <v>55</v>
      </c>
      <c r="F211">
        <v>3</v>
      </c>
      <c r="G211">
        <v>68000</v>
      </c>
      <c r="H211">
        <v>204000</v>
      </c>
      <c r="I211" t="s">
        <v>31</v>
      </c>
      <c r="J211" t="s">
        <v>56</v>
      </c>
    </row>
    <row r="212" spans="1:10" x14ac:dyDescent="0.35">
      <c r="A212" t="s">
        <v>337</v>
      </c>
      <c r="B212" s="2">
        <v>46049</v>
      </c>
      <c r="C212" t="s">
        <v>97</v>
      </c>
      <c r="D212" t="s">
        <v>162</v>
      </c>
      <c r="E212" t="s">
        <v>95</v>
      </c>
      <c r="F212">
        <v>1</v>
      </c>
      <c r="G212">
        <v>185000</v>
      </c>
      <c r="H212">
        <v>185000</v>
      </c>
      <c r="I212" t="s">
        <v>36</v>
      </c>
      <c r="J212" t="s">
        <v>122</v>
      </c>
    </row>
    <row r="213" spans="1:10" x14ac:dyDescent="0.35">
      <c r="A213" t="s">
        <v>338</v>
      </c>
      <c r="B213" s="2">
        <v>46050</v>
      </c>
      <c r="C213" t="s">
        <v>117</v>
      </c>
      <c r="D213" t="s">
        <v>80</v>
      </c>
      <c r="E213" t="s">
        <v>35</v>
      </c>
      <c r="F213">
        <v>2</v>
      </c>
      <c r="G213">
        <v>540000</v>
      </c>
      <c r="H213">
        <v>1080000</v>
      </c>
      <c r="I213" t="s">
        <v>31</v>
      </c>
      <c r="J213" t="s">
        <v>37</v>
      </c>
    </row>
    <row r="214" spans="1:10" x14ac:dyDescent="0.35">
      <c r="A214" t="s">
        <v>339</v>
      </c>
      <c r="B214" s="2">
        <v>46051</v>
      </c>
      <c r="C214" t="s">
        <v>102</v>
      </c>
      <c r="D214" t="s">
        <v>76</v>
      </c>
      <c r="E214" t="s">
        <v>70</v>
      </c>
      <c r="F214">
        <v>4</v>
      </c>
      <c r="G214">
        <v>68000</v>
      </c>
      <c r="H214">
        <v>272000</v>
      </c>
      <c r="I214" t="s">
        <v>51</v>
      </c>
      <c r="J214" t="s">
        <v>46</v>
      </c>
    </row>
    <row r="215" spans="1:10" x14ac:dyDescent="0.35">
      <c r="A215" t="s">
        <v>340</v>
      </c>
      <c r="B215" s="2">
        <v>46052</v>
      </c>
      <c r="C215" t="s">
        <v>138</v>
      </c>
      <c r="D215" t="s">
        <v>86</v>
      </c>
      <c r="E215" t="s">
        <v>50</v>
      </c>
      <c r="F215">
        <v>2</v>
      </c>
      <c r="G215">
        <v>28000</v>
      </c>
      <c r="H215">
        <v>56000</v>
      </c>
      <c r="I215" t="s">
        <v>36</v>
      </c>
      <c r="J215" t="s">
        <v>84</v>
      </c>
    </row>
    <row r="216" spans="1:10" x14ac:dyDescent="0.35">
      <c r="A216" t="s">
        <v>341</v>
      </c>
      <c r="B216" s="2">
        <v>46053</v>
      </c>
      <c r="C216" t="s">
        <v>236</v>
      </c>
      <c r="D216" t="s">
        <v>110</v>
      </c>
      <c r="E216" t="s">
        <v>45</v>
      </c>
      <c r="F216">
        <v>5</v>
      </c>
      <c r="G216">
        <v>185000</v>
      </c>
      <c r="H216">
        <v>925000</v>
      </c>
      <c r="I216" t="s">
        <v>51</v>
      </c>
      <c r="J216" t="s">
        <v>122</v>
      </c>
    </row>
    <row r="217" spans="1:10" x14ac:dyDescent="0.35">
      <c r="A217" t="s">
        <v>342</v>
      </c>
      <c r="B217" s="2">
        <v>46054</v>
      </c>
      <c r="C217" t="s">
        <v>109</v>
      </c>
      <c r="D217" t="s">
        <v>83</v>
      </c>
      <c r="E217" t="s">
        <v>50</v>
      </c>
      <c r="F217">
        <v>3</v>
      </c>
      <c r="G217">
        <v>120000</v>
      </c>
      <c r="H217">
        <v>360000</v>
      </c>
      <c r="I217" t="s">
        <v>51</v>
      </c>
      <c r="J217" t="s">
        <v>46</v>
      </c>
    </row>
    <row r="218" spans="1:10" x14ac:dyDescent="0.35">
      <c r="A218" t="s">
        <v>343</v>
      </c>
      <c r="B218" s="2">
        <v>46055</v>
      </c>
      <c r="C218" t="s">
        <v>131</v>
      </c>
      <c r="D218" t="s">
        <v>206</v>
      </c>
      <c r="E218" t="s">
        <v>45</v>
      </c>
      <c r="F218">
        <v>1</v>
      </c>
      <c r="G218">
        <v>45000</v>
      </c>
      <c r="H218">
        <v>45000</v>
      </c>
      <c r="I218" t="s">
        <v>36</v>
      </c>
      <c r="J218" t="s">
        <v>60</v>
      </c>
    </row>
    <row r="219" spans="1:10" x14ac:dyDescent="0.35">
      <c r="A219" t="s">
        <v>344</v>
      </c>
      <c r="B219" s="2">
        <v>46056</v>
      </c>
      <c r="C219" t="s">
        <v>62</v>
      </c>
      <c r="D219" t="s">
        <v>201</v>
      </c>
      <c r="E219" t="s">
        <v>41</v>
      </c>
      <c r="F219">
        <v>1</v>
      </c>
      <c r="G219">
        <v>120000</v>
      </c>
      <c r="H219">
        <v>120000</v>
      </c>
      <c r="I219" t="s">
        <v>31</v>
      </c>
      <c r="J219" t="s">
        <v>146</v>
      </c>
    </row>
    <row r="220" spans="1:10" x14ac:dyDescent="0.35">
      <c r="A220" t="s">
        <v>345</v>
      </c>
      <c r="B220" s="2">
        <v>46057</v>
      </c>
      <c r="C220" t="s">
        <v>112</v>
      </c>
      <c r="D220" t="s">
        <v>40</v>
      </c>
      <c r="E220" t="s">
        <v>59</v>
      </c>
      <c r="F220">
        <v>4</v>
      </c>
      <c r="G220">
        <v>120000</v>
      </c>
      <c r="H220">
        <v>480000</v>
      </c>
      <c r="I220" t="s">
        <v>36</v>
      </c>
      <c r="J220" t="s">
        <v>60</v>
      </c>
    </row>
    <row r="221" spans="1:10" x14ac:dyDescent="0.35">
      <c r="A221" t="s">
        <v>346</v>
      </c>
      <c r="B221" s="2">
        <v>46058</v>
      </c>
      <c r="C221" t="s">
        <v>117</v>
      </c>
      <c r="D221" t="s">
        <v>141</v>
      </c>
      <c r="E221" t="s">
        <v>45</v>
      </c>
      <c r="F221">
        <v>2</v>
      </c>
      <c r="G221">
        <v>95000</v>
      </c>
      <c r="H221">
        <v>190000</v>
      </c>
      <c r="I221" t="s">
        <v>51</v>
      </c>
      <c r="J221" t="s">
        <v>37</v>
      </c>
    </row>
    <row r="222" spans="1:10" x14ac:dyDescent="0.35">
      <c r="A222" t="s">
        <v>347</v>
      </c>
      <c r="B222" s="2">
        <v>46059</v>
      </c>
      <c r="C222" t="s">
        <v>117</v>
      </c>
      <c r="D222" t="s">
        <v>103</v>
      </c>
      <c r="E222" t="s">
        <v>50</v>
      </c>
      <c r="F222">
        <v>4</v>
      </c>
      <c r="G222">
        <v>68000</v>
      </c>
      <c r="H222">
        <v>272000</v>
      </c>
      <c r="I222" t="s">
        <v>51</v>
      </c>
      <c r="J222" t="s">
        <v>56</v>
      </c>
    </row>
    <row r="223" spans="1:10" x14ac:dyDescent="0.35">
      <c r="A223" t="s">
        <v>348</v>
      </c>
      <c r="B223" s="2">
        <v>46060</v>
      </c>
      <c r="C223" t="s">
        <v>106</v>
      </c>
      <c r="D223" t="s">
        <v>335</v>
      </c>
      <c r="E223" t="s">
        <v>41</v>
      </c>
      <c r="F223">
        <v>3</v>
      </c>
      <c r="G223">
        <v>540000</v>
      </c>
      <c r="H223">
        <v>1620000</v>
      </c>
      <c r="I223" t="s">
        <v>36</v>
      </c>
      <c r="J223" t="s">
        <v>56</v>
      </c>
    </row>
    <row r="224" spans="1:10" x14ac:dyDescent="0.35">
      <c r="A224" t="s">
        <v>349</v>
      </c>
      <c r="B224" s="2">
        <v>46061</v>
      </c>
      <c r="C224" t="s">
        <v>106</v>
      </c>
      <c r="D224" t="s">
        <v>90</v>
      </c>
      <c r="E224" t="s">
        <v>45</v>
      </c>
      <c r="F224">
        <v>4</v>
      </c>
      <c r="G224">
        <v>18000</v>
      </c>
      <c r="H224">
        <v>72000</v>
      </c>
      <c r="I224" t="s">
        <v>31</v>
      </c>
      <c r="J224" t="s">
        <v>32</v>
      </c>
    </row>
    <row r="225" spans="1:10" x14ac:dyDescent="0.35">
      <c r="A225" t="s">
        <v>350</v>
      </c>
      <c r="B225" s="2">
        <v>46062</v>
      </c>
      <c r="C225" t="s">
        <v>34</v>
      </c>
      <c r="D225" t="s">
        <v>239</v>
      </c>
      <c r="E225" t="s">
        <v>35</v>
      </c>
      <c r="F225">
        <v>1</v>
      </c>
      <c r="G225">
        <v>540000</v>
      </c>
      <c r="H225">
        <v>540000</v>
      </c>
      <c r="I225" t="s">
        <v>31</v>
      </c>
      <c r="J225" t="s">
        <v>32</v>
      </c>
    </row>
    <row r="226" spans="1:10" x14ac:dyDescent="0.35">
      <c r="A226" t="s">
        <v>351</v>
      </c>
      <c r="B226" s="2">
        <v>46063</v>
      </c>
      <c r="C226" t="s">
        <v>109</v>
      </c>
      <c r="D226" t="s">
        <v>125</v>
      </c>
      <c r="E226" t="s">
        <v>59</v>
      </c>
      <c r="F226">
        <v>1</v>
      </c>
      <c r="G226">
        <v>120000</v>
      </c>
      <c r="H226">
        <v>120000</v>
      </c>
      <c r="I226" t="s">
        <v>51</v>
      </c>
      <c r="J226" t="s">
        <v>32</v>
      </c>
    </row>
    <row r="227" spans="1:10" x14ac:dyDescent="0.35">
      <c r="A227" t="s">
        <v>352</v>
      </c>
      <c r="B227" s="2">
        <v>46064</v>
      </c>
      <c r="C227" t="s">
        <v>109</v>
      </c>
      <c r="D227" t="s">
        <v>58</v>
      </c>
      <c r="E227" t="s">
        <v>45</v>
      </c>
      <c r="F227">
        <v>5</v>
      </c>
      <c r="G227">
        <v>28000</v>
      </c>
      <c r="H227">
        <v>140000</v>
      </c>
      <c r="I227" t="s">
        <v>51</v>
      </c>
      <c r="J227" t="s">
        <v>60</v>
      </c>
    </row>
    <row r="228" spans="1:10" x14ac:dyDescent="0.35">
      <c r="A228" t="s">
        <v>353</v>
      </c>
      <c r="B228" s="2">
        <v>46065</v>
      </c>
      <c r="C228" t="s">
        <v>48</v>
      </c>
      <c r="D228" t="s">
        <v>115</v>
      </c>
      <c r="E228" t="s">
        <v>41</v>
      </c>
      <c r="F228">
        <v>5</v>
      </c>
      <c r="G228">
        <v>45000</v>
      </c>
      <c r="H228">
        <v>225000</v>
      </c>
      <c r="I228" t="s">
        <v>31</v>
      </c>
      <c r="J228" t="s">
        <v>122</v>
      </c>
    </row>
    <row r="229" spans="1:10" x14ac:dyDescent="0.35">
      <c r="A229" t="s">
        <v>354</v>
      </c>
      <c r="B229" s="2">
        <v>46066</v>
      </c>
      <c r="C229" t="s">
        <v>68</v>
      </c>
      <c r="D229" t="s">
        <v>139</v>
      </c>
      <c r="E229" t="s">
        <v>55</v>
      </c>
      <c r="F229">
        <v>3</v>
      </c>
      <c r="G229">
        <v>280000</v>
      </c>
      <c r="H229">
        <v>840000</v>
      </c>
      <c r="I229" t="s">
        <v>36</v>
      </c>
      <c r="J229" t="s">
        <v>146</v>
      </c>
    </row>
    <row r="230" spans="1:10" x14ac:dyDescent="0.35">
      <c r="A230" t="s">
        <v>355</v>
      </c>
      <c r="B230" s="2">
        <v>46067</v>
      </c>
      <c r="C230" t="s">
        <v>75</v>
      </c>
      <c r="D230" t="s">
        <v>92</v>
      </c>
      <c r="E230" t="s">
        <v>66</v>
      </c>
      <c r="F230">
        <v>2</v>
      </c>
      <c r="G230">
        <v>540000</v>
      </c>
      <c r="H230">
        <v>1080000</v>
      </c>
      <c r="I230" t="s">
        <v>51</v>
      </c>
      <c r="J230" t="s">
        <v>32</v>
      </c>
    </row>
    <row r="231" spans="1:10" x14ac:dyDescent="0.35">
      <c r="A231" t="s">
        <v>356</v>
      </c>
      <c r="B231" s="2">
        <v>46068</v>
      </c>
      <c r="C231" t="s">
        <v>117</v>
      </c>
      <c r="D231" t="s">
        <v>248</v>
      </c>
      <c r="E231" t="s">
        <v>95</v>
      </c>
      <c r="F231">
        <v>4</v>
      </c>
      <c r="G231">
        <v>120000</v>
      </c>
      <c r="H231">
        <v>480000</v>
      </c>
      <c r="I231" t="s">
        <v>31</v>
      </c>
      <c r="J231" t="s">
        <v>37</v>
      </c>
    </row>
    <row r="232" spans="1:10" x14ac:dyDescent="0.35">
      <c r="A232" t="s">
        <v>357</v>
      </c>
      <c r="B232" s="2">
        <v>46069</v>
      </c>
      <c r="C232" t="s">
        <v>131</v>
      </c>
      <c r="D232" t="s">
        <v>127</v>
      </c>
      <c r="E232" t="s">
        <v>66</v>
      </c>
      <c r="F232">
        <v>3</v>
      </c>
      <c r="G232">
        <v>45000</v>
      </c>
      <c r="H232">
        <v>135000</v>
      </c>
      <c r="I232" t="s">
        <v>51</v>
      </c>
      <c r="J232" t="s">
        <v>37</v>
      </c>
    </row>
    <row r="233" spans="1:10" x14ac:dyDescent="0.35">
      <c r="A233" t="s">
        <v>358</v>
      </c>
      <c r="B233" s="2">
        <v>46070</v>
      </c>
      <c r="C233" t="s">
        <v>28</v>
      </c>
      <c r="D233" t="s">
        <v>58</v>
      </c>
      <c r="E233" t="s">
        <v>66</v>
      </c>
      <c r="F233">
        <v>5</v>
      </c>
      <c r="G233">
        <v>185000</v>
      </c>
      <c r="H233">
        <v>925000</v>
      </c>
      <c r="I233" t="s">
        <v>36</v>
      </c>
      <c r="J233" t="s">
        <v>32</v>
      </c>
    </row>
    <row r="234" spans="1:10" x14ac:dyDescent="0.35">
      <c r="A234" t="s">
        <v>359</v>
      </c>
      <c r="B234" s="2">
        <v>46071</v>
      </c>
      <c r="C234" t="s">
        <v>109</v>
      </c>
      <c r="D234" t="s">
        <v>49</v>
      </c>
      <c r="E234" t="s">
        <v>30</v>
      </c>
      <c r="F234">
        <v>4</v>
      </c>
      <c r="G234">
        <v>68000</v>
      </c>
      <c r="H234">
        <v>272000</v>
      </c>
      <c r="I234" t="s">
        <v>31</v>
      </c>
      <c r="J234" t="s">
        <v>56</v>
      </c>
    </row>
    <row r="235" spans="1:10" x14ac:dyDescent="0.35">
      <c r="A235" t="s">
        <v>360</v>
      </c>
      <c r="B235" s="2">
        <v>46072</v>
      </c>
      <c r="C235" t="s">
        <v>120</v>
      </c>
      <c r="D235" t="s">
        <v>175</v>
      </c>
      <c r="E235" t="s">
        <v>35</v>
      </c>
      <c r="F235">
        <v>5</v>
      </c>
      <c r="G235">
        <v>365000</v>
      </c>
      <c r="H235">
        <v>1825000</v>
      </c>
      <c r="I235" t="s">
        <v>51</v>
      </c>
      <c r="J235" t="s">
        <v>32</v>
      </c>
    </row>
    <row r="236" spans="1:10" x14ac:dyDescent="0.35">
      <c r="A236" t="s">
        <v>361</v>
      </c>
      <c r="B236" s="2">
        <v>46073</v>
      </c>
      <c r="C236" t="s">
        <v>120</v>
      </c>
      <c r="D236" t="s">
        <v>54</v>
      </c>
      <c r="E236" t="s">
        <v>55</v>
      </c>
      <c r="F236">
        <v>4</v>
      </c>
      <c r="G236">
        <v>95000</v>
      </c>
      <c r="H236">
        <v>380000</v>
      </c>
      <c r="I236" t="s">
        <v>36</v>
      </c>
      <c r="J236" t="s">
        <v>146</v>
      </c>
    </row>
    <row r="237" spans="1:10" x14ac:dyDescent="0.35">
      <c r="A237" t="s">
        <v>362</v>
      </c>
      <c r="B237" s="2">
        <v>46074</v>
      </c>
      <c r="C237" t="s">
        <v>131</v>
      </c>
      <c r="D237" t="s">
        <v>188</v>
      </c>
      <c r="E237" t="s">
        <v>70</v>
      </c>
      <c r="F237">
        <v>2</v>
      </c>
      <c r="G237">
        <v>45000</v>
      </c>
      <c r="H237">
        <v>90000</v>
      </c>
      <c r="I237" t="s">
        <v>51</v>
      </c>
      <c r="J237" t="s">
        <v>32</v>
      </c>
    </row>
    <row r="238" spans="1:10" x14ac:dyDescent="0.35">
      <c r="A238" t="s">
        <v>363</v>
      </c>
      <c r="B238" s="2">
        <v>46075</v>
      </c>
      <c r="C238" t="s">
        <v>135</v>
      </c>
      <c r="D238" t="s">
        <v>90</v>
      </c>
      <c r="E238" t="s">
        <v>45</v>
      </c>
      <c r="F238">
        <v>3</v>
      </c>
      <c r="G238">
        <v>28000</v>
      </c>
      <c r="H238">
        <v>84000</v>
      </c>
      <c r="I238" t="s">
        <v>36</v>
      </c>
      <c r="J238" t="s">
        <v>146</v>
      </c>
    </row>
    <row r="239" spans="1:10" x14ac:dyDescent="0.35">
      <c r="A239" t="s">
        <v>364</v>
      </c>
      <c r="B239" s="2">
        <v>46076</v>
      </c>
      <c r="C239" t="s">
        <v>109</v>
      </c>
      <c r="D239" t="s">
        <v>29</v>
      </c>
      <c r="E239" t="s">
        <v>95</v>
      </c>
      <c r="F239">
        <v>4</v>
      </c>
      <c r="G239">
        <v>28000</v>
      </c>
      <c r="H239">
        <v>112000</v>
      </c>
      <c r="I239" t="s">
        <v>36</v>
      </c>
      <c r="J239" t="s">
        <v>37</v>
      </c>
    </row>
    <row r="240" spans="1:10" x14ac:dyDescent="0.35">
      <c r="A240" t="s">
        <v>365</v>
      </c>
      <c r="B240" s="2">
        <v>46077</v>
      </c>
      <c r="C240" t="s">
        <v>131</v>
      </c>
      <c r="D240" t="s">
        <v>44</v>
      </c>
      <c r="E240" t="s">
        <v>59</v>
      </c>
      <c r="F240">
        <v>1</v>
      </c>
      <c r="G240">
        <v>45000</v>
      </c>
      <c r="H240">
        <v>45000</v>
      </c>
      <c r="I240" t="s">
        <v>31</v>
      </c>
      <c r="J240" t="s">
        <v>32</v>
      </c>
    </row>
    <row r="241" spans="1:10" x14ac:dyDescent="0.35">
      <c r="A241" t="s">
        <v>366</v>
      </c>
      <c r="B241" s="2">
        <v>46078</v>
      </c>
      <c r="C241" t="s">
        <v>34</v>
      </c>
      <c r="D241" t="s">
        <v>206</v>
      </c>
      <c r="E241" t="s">
        <v>55</v>
      </c>
      <c r="F241">
        <v>1</v>
      </c>
      <c r="G241">
        <v>28000</v>
      </c>
      <c r="H241">
        <v>28000</v>
      </c>
      <c r="I241" t="s">
        <v>36</v>
      </c>
      <c r="J241" t="s">
        <v>60</v>
      </c>
    </row>
    <row r="242" spans="1:10" x14ac:dyDescent="0.35">
      <c r="A242" t="s">
        <v>367</v>
      </c>
      <c r="B242" s="2">
        <v>46079</v>
      </c>
      <c r="C242" t="s">
        <v>236</v>
      </c>
      <c r="D242" t="s">
        <v>183</v>
      </c>
      <c r="E242" t="s">
        <v>50</v>
      </c>
      <c r="F242">
        <v>4</v>
      </c>
      <c r="G242">
        <v>68000</v>
      </c>
      <c r="H242">
        <v>272000</v>
      </c>
      <c r="I242" t="s">
        <v>51</v>
      </c>
      <c r="J242" t="s">
        <v>84</v>
      </c>
    </row>
    <row r="243" spans="1:10" x14ac:dyDescent="0.35">
      <c r="A243" t="s">
        <v>368</v>
      </c>
      <c r="B243" s="2">
        <v>46080</v>
      </c>
      <c r="C243" t="s">
        <v>167</v>
      </c>
      <c r="D243" t="s">
        <v>100</v>
      </c>
      <c r="E243" t="s">
        <v>70</v>
      </c>
      <c r="F243">
        <v>4</v>
      </c>
      <c r="G243">
        <v>28000</v>
      </c>
      <c r="H243">
        <v>112000</v>
      </c>
      <c r="I243" t="s">
        <v>36</v>
      </c>
      <c r="J243" t="s">
        <v>60</v>
      </c>
    </row>
    <row r="244" spans="1:10" x14ac:dyDescent="0.35">
      <c r="A244" t="s">
        <v>369</v>
      </c>
      <c r="B244" s="2">
        <v>46081</v>
      </c>
      <c r="C244" t="s">
        <v>94</v>
      </c>
      <c r="D244" t="s">
        <v>90</v>
      </c>
      <c r="E244" t="s">
        <v>30</v>
      </c>
      <c r="F244">
        <v>4</v>
      </c>
      <c r="G244">
        <v>540000</v>
      </c>
      <c r="H244">
        <v>2160000</v>
      </c>
      <c r="I244" t="s">
        <v>36</v>
      </c>
      <c r="J244" t="s">
        <v>37</v>
      </c>
    </row>
    <row r="245" spans="1:10" x14ac:dyDescent="0.35">
      <c r="A245" t="s">
        <v>370</v>
      </c>
      <c r="B245" s="2">
        <v>46082</v>
      </c>
      <c r="C245" t="s">
        <v>28</v>
      </c>
      <c r="D245" t="s">
        <v>44</v>
      </c>
      <c r="E245" t="s">
        <v>30</v>
      </c>
      <c r="F245">
        <v>1</v>
      </c>
      <c r="G245">
        <v>365000</v>
      </c>
      <c r="H245">
        <v>365000</v>
      </c>
      <c r="I245" t="s">
        <v>31</v>
      </c>
      <c r="J245" t="s">
        <v>146</v>
      </c>
    </row>
    <row r="246" spans="1:10" x14ac:dyDescent="0.35">
      <c r="A246" t="s">
        <v>371</v>
      </c>
      <c r="B246" s="2">
        <v>46083</v>
      </c>
      <c r="C246" t="s">
        <v>112</v>
      </c>
      <c r="D246" t="s">
        <v>143</v>
      </c>
      <c r="E246" t="s">
        <v>55</v>
      </c>
      <c r="F246">
        <v>1</v>
      </c>
      <c r="G246">
        <v>28000</v>
      </c>
      <c r="H246">
        <v>28000</v>
      </c>
      <c r="I246" t="s">
        <v>36</v>
      </c>
      <c r="J246" t="s">
        <v>60</v>
      </c>
    </row>
    <row r="247" spans="1:10" x14ac:dyDescent="0.35">
      <c r="A247" t="s">
        <v>372</v>
      </c>
      <c r="B247" s="2">
        <v>46084</v>
      </c>
      <c r="C247" t="s">
        <v>53</v>
      </c>
      <c r="D247" t="s">
        <v>58</v>
      </c>
      <c r="E247" t="s">
        <v>41</v>
      </c>
      <c r="F247">
        <v>4</v>
      </c>
      <c r="G247">
        <v>365000</v>
      </c>
      <c r="H247">
        <v>1460000</v>
      </c>
      <c r="I247" t="s">
        <v>36</v>
      </c>
      <c r="J247" t="s">
        <v>146</v>
      </c>
    </row>
    <row r="248" spans="1:10" x14ac:dyDescent="0.35">
      <c r="A248" t="s">
        <v>373</v>
      </c>
      <c r="B248" s="2">
        <v>46085</v>
      </c>
      <c r="C248" t="s">
        <v>135</v>
      </c>
      <c r="D248" t="s">
        <v>80</v>
      </c>
      <c r="E248" t="s">
        <v>66</v>
      </c>
      <c r="F248">
        <v>5</v>
      </c>
      <c r="G248">
        <v>120000</v>
      </c>
      <c r="H248">
        <v>600000</v>
      </c>
      <c r="I248" t="s">
        <v>51</v>
      </c>
      <c r="J248" t="s">
        <v>60</v>
      </c>
    </row>
    <row r="249" spans="1:10" x14ac:dyDescent="0.35">
      <c r="A249" t="s">
        <v>374</v>
      </c>
      <c r="B249" s="2">
        <v>46086</v>
      </c>
      <c r="C249" t="s">
        <v>167</v>
      </c>
      <c r="D249" t="s">
        <v>83</v>
      </c>
      <c r="E249" t="s">
        <v>50</v>
      </c>
      <c r="F249">
        <v>5</v>
      </c>
      <c r="G249">
        <v>18000</v>
      </c>
      <c r="H249">
        <v>90000</v>
      </c>
      <c r="I249" t="s">
        <v>31</v>
      </c>
      <c r="J249" t="s">
        <v>60</v>
      </c>
    </row>
    <row r="250" spans="1:10" x14ac:dyDescent="0.35">
      <c r="A250" t="s">
        <v>375</v>
      </c>
      <c r="B250" s="2">
        <v>46087</v>
      </c>
      <c r="C250" t="s">
        <v>109</v>
      </c>
      <c r="D250" t="s">
        <v>98</v>
      </c>
      <c r="E250" t="s">
        <v>30</v>
      </c>
      <c r="F250">
        <v>2</v>
      </c>
      <c r="G250">
        <v>68000</v>
      </c>
      <c r="H250">
        <v>136000</v>
      </c>
      <c r="I250" t="s">
        <v>31</v>
      </c>
      <c r="J250" t="s">
        <v>146</v>
      </c>
    </row>
    <row r="251" spans="1:10" x14ac:dyDescent="0.35">
      <c r="A251" t="s">
        <v>376</v>
      </c>
      <c r="B251" s="2">
        <v>46088</v>
      </c>
      <c r="C251" t="s">
        <v>161</v>
      </c>
      <c r="D251" t="s">
        <v>208</v>
      </c>
      <c r="E251" t="s">
        <v>95</v>
      </c>
      <c r="F251">
        <v>3</v>
      </c>
      <c r="G251">
        <v>18000</v>
      </c>
      <c r="H251">
        <v>54000</v>
      </c>
      <c r="I251" t="s">
        <v>31</v>
      </c>
      <c r="J251" t="s">
        <v>122</v>
      </c>
    </row>
    <row r="252" spans="1:10" x14ac:dyDescent="0.35">
      <c r="A252" t="s">
        <v>377</v>
      </c>
      <c r="B252" s="2">
        <v>46089</v>
      </c>
      <c r="C252" t="s">
        <v>120</v>
      </c>
      <c r="D252" t="s">
        <v>98</v>
      </c>
      <c r="E252" t="s">
        <v>30</v>
      </c>
      <c r="F252">
        <v>5</v>
      </c>
      <c r="G252">
        <v>120000</v>
      </c>
      <c r="H252">
        <v>600000</v>
      </c>
      <c r="I252" t="s">
        <v>36</v>
      </c>
      <c r="J252" t="s">
        <v>60</v>
      </c>
    </row>
    <row r="253" spans="1:10" x14ac:dyDescent="0.35">
      <c r="A253" t="s">
        <v>378</v>
      </c>
      <c r="B253" s="2">
        <v>46090</v>
      </c>
      <c r="C253" t="s">
        <v>72</v>
      </c>
      <c r="D253" t="s">
        <v>239</v>
      </c>
      <c r="E253" t="s">
        <v>59</v>
      </c>
      <c r="F253">
        <v>1</v>
      </c>
      <c r="G253">
        <v>68000</v>
      </c>
      <c r="H253">
        <v>68000</v>
      </c>
      <c r="I253" t="s">
        <v>31</v>
      </c>
      <c r="J253" t="s">
        <v>32</v>
      </c>
    </row>
    <row r="254" spans="1:10" x14ac:dyDescent="0.35">
      <c r="A254" t="s">
        <v>379</v>
      </c>
      <c r="B254" s="2">
        <v>46091</v>
      </c>
      <c r="C254" t="s">
        <v>138</v>
      </c>
      <c r="D254" t="s">
        <v>246</v>
      </c>
      <c r="E254" t="s">
        <v>45</v>
      </c>
      <c r="F254">
        <v>5</v>
      </c>
      <c r="G254">
        <v>45000</v>
      </c>
      <c r="H254">
        <v>225000</v>
      </c>
      <c r="I254" t="s">
        <v>36</v>
      </c>
      <c r="J254" t="s">
        <v>84</v>
      </c>
    </row>
    <row r="255" spans="1:10" x14ac:dyDescent="0.35">
      <c r="A255" t="s">
        <v>380</v>
      </c>
      <c r="B255" s="2">
        <v>46092</v>
      </c>
      <c r="C255" t="s">
        <v>106</v>
      </c>
      <c r="D255" t="s">
        <v>44</v>
      </c>
      <c r="E255" t="s">
        <v>30</v>
      </c>
      <c r="F255">
        <v>2</v>
      </c>
      <c r="G255">
        <v>45000</v>
      </c>
      <c r="H255">
        <v>90000</v>
      </c>
      <c r="I255" t="s">
        <v>36</v>
      </c>
      <c r="J255" t="s">
        <v>37</v>
      </c>
    </row>
    <row r="256" spans="1:10" x14ac:dyDescent="0.35">
      <c r="A256" t="s">
        <v>381</v>
      </c>
      <c r="B256" s="2">
        <v>46093</v>
      </c>
      <c r="C256" t="s">
        <v>82</v>
      </c>
      <c r="D256" t="s">
        <v>115</v>
      </c>
      <c r="E256" t="s">
        <v>59</v>
      </c>
      <c r="F256">
        <v>2</v>
      </c>
      <c r="G256">
        <v>365000</v>
      </c>
      <c r="H256">
        <v>730000</v>
      </c>
      <c r="I256" t="s">
        <v>51</v>
      </c>
      <c r="J256" t="s">
        <v>122</v>
      </c>
    </row>
    <row r="257" spans="1:10" x14ac:dyDescent="0.35">
      <c r="A257" t="s">
        <v>382</v>
      </c>
      <c r="B257" s="2">
        <v>46094</v>
      </c>
      <c r="C257" t="s">
        <v>43</v>
      </c>
      <c r="D257" t="s">
        <v>143</v>
      </c>
      <c r="E257" t="s">
        <v>55</v>
      </c>
      <c r="F257">
        <v>3</v>
      </c>
      <c r="G257">
        <v>120000</v>
      </c>
      <c r="H257">
        <v>360000</v>
      </c>
      <c r="I257" t="s">
        <v>51</v>
      </c>
      <c r="J257" t="s">
        <v>146</v>
      </c>
    </row>
    <row r="258" spans="1:10" x14ac:dyDescent="0.35">
      <c r="A258" t="s">
        <v>383</v>
      </c>
      <c r="B258" s="2">
        <v>46095</v>
      </c>
      <c r="C258" t="s">
        <v>135</v>
      </c>
      <c r="D258" t="s">
        <v>80</v>
      </c>
      <c r="E258" t="s">
        <v>55</v>
      </c>
      <c r="F258">
        <v>5</v>
      </c>
      <c r="G258">
        <v>365000</v>
      </c>
      <c r="H258">
        <v>1825000</v>
      </c>
      <c r="I258" t="s">
        <v>51</v>
      </c>
      <c r="J258" t="s">
        <v>122</v>
      </c>
    </row>
    <row r="259" spans="1:10" x14ac:dyDescent="0.35">
      <c r="A259" t="s">
        <v>384</v>
      </c>
      <c r="B259" s="2">
        <v>46096</v>
      </c>
      <c r="C259" t="s">
        <v>97</v>
      </c>
      <c r="D259" t="s">
        <v>98</v>
      </c>
      <c r="E259" t="s">
        <v>70</v>
      </c>
      <c r="F259">
        <v>1</v>
      </c>
      <c r="G259">
        <v>95000</v>
      </c>
      <c r="H259">
        <v>95000</v>
      </c>
      <c r="I259" t="s">
        <v>51</v>
      </c>
      <c r="J259" t="s">
        <v>46</v>
      </c>
    </row>
    <row r="260" spans="1:10" x14ac:dyDescent="0.35">
      <c r="A260" t="s">
        <v>385</v>
      </c>
      <c r="B260" s="2">
        <v>46097</v>
      </c>
      <c r="C260" t="s">
        <v>82</v>
      </c>
      <c r="D260" t="s">
        <v>158</v>
      </c>
      <c r="E260" t="s">
        <v>30</v>
      </c>
      <c r="F260">
        <v>1</v>
      </c>
      <c r="G260">
        <v>28000</v>
      </c>
      <c r="H260">
        <v>28000</v>
      </c>
      <c r="I260" t="s">
        <v>51</v>
      </c>
      <c r="J260" t="s">
        <v>46</v>
      </c>
    </row>
    <row r="261" spans="1:10" x14ac:dyDescent="0.35">
      <c r="A261" t="s">
        <v>386</v>
      </c>
      <c r="B261" s="2">
        <v>46098</v>
      </c>
      <c r="C261" t="s">
        <v>167</v>
      </c>
      <c r="D261" t="s">
        <v>127</v>
      </c>
      <c r="E261" t="s">
        <v>95</v>
      </c>
      <c r="F261">
        <v>4</v>
      </c>
      <c r="G261">
        <v>280000</v>
      </c>
      <c r="H261">
        <v>1120000</v>
      </c>
      <c r="I261" t="s">
        <v>36</v>
      </c>
      <c r="J261" t="s">
        <v>60</v>
      </c>
    </row>
    <row r="262" spans="1:10" x14ac:dyDescent="0.35">
      <c r="A262" t="s">
        <v>387</v>
      </c>
      <c r="B262" s="2">
        <v>46099</v>
      </c>
      <c r="C262" t="s">
        <v>34</v>
      </c>
      <c r="D262" t="s">
        <v>178</v>
      </c>
      <c r="E262" t="s">
        <v>30</v>
      </c>
      <c r="F262">
        <v>1</v>
      </c>
      <c r="G262">
        <v>95000</v>
      </c>
      <c r="H262">
        <v>95000</v>
      </c>
      <c r="I262" t="s">
        <v>36</v>
      </c>
      <c r="J262" t="s">
        <v>60</v>
      </c>
    </row>
    <row r="263" spans="1:10" x14ac:dyDescent="0.35">
      <c r="A263" t="s">
        <v>388</v>
      </c>
      <c r="B263" s="2">
        <v>46100</v>
      </c>
      <c r="C263" t="s">
        <v>133</v>
      </c>
      <c r="D263" t="s">
        <v>335</v>
      </c>
      <c r="E263" t="s">
        <v>95</v>
      </c>
      <c r="F263">
        <v>3</v>
      </c>
      <c r="G263">
        <v>28000</v>
      </c>
      <c r="H263">
        <v>84000</v>
      </c>
      <c r="I263" t="s">
        <v>31</v>
      </c>
      <c r="J263" t="s">
        <v>32</v>
      </c>
    </row>
    <row r="264" spans="1:10" x14ac:dyDescent="0.35">
      <c r="A264" t="s">
        <v>389</v>
      </c>
      <c r="B264" s="2">
        <v>46101</v>
      </c>
      <c r="C264" t="s">
        <v>109</v>
      </c>
      <c r="D264" t="s">
        <v>54</v>
      </c>
      <c r="E264" t="s">
        <v>35</v>
      </c>
      <c r="F264">
        <v>3</v>
      </c>
      <c r="G264">
        <v>68000</v>
      </c>
      <c r="H264">
        <v>204000</v>
      </c>
      <c r="I264" t="s">
        <v>36</v>
      </c>
      <c r="J264" t="s">
        <v>84</v>
      </c>
    </row>
    <row r="265" spans="1:10" x14ac:dyDescent="0.35">
      <c r="A265" t="s">
        <v>390</v>
      </c>
      <c r="B265" s="2">
        <v>46102</v>
      </c>
      <c r="C265" t="s">
        <v>133</v>
      </c>
      <c r="D265" t="s">
        <v>29</v>
      </c>
      <c r="E265" t="s">
        <v>70</v>
      </c>
      <c r="F265">
        <v>1</v>
      </c>
      <c r="G265">
        <v>365000</v>
      </c>
      <c r="H265">
        <v>365000</v>
      </c>
      <c r="I265" t="s">
        <v>36</v>
      </c>
      <c r="J265" t="s">
        <v>37</v>
      </c>
    </row>
    <row r="266" spans="1:10" x14ac:dyDescent="0.35">
      <c r="A266" t="s">
        <v>391</v>
      </c>
      <c r="B266" s="2">
        <v>46103</v>
      </c>
      <c r="C266" t="s">
        <v>68</v>
      </c>
      <c r="D266" t="s">
        <v>58</v>
      </c>
      <c r="E266" t="s">
        <v>35</v>
      </c>
      <c r="F266">
        <v>1</v>
      </c>
      <c r="G266">
        <v>68000</v>
      </c>
      <c r="H266">
        <v>68000</v>
      </c>
      <c r="I266" t="s">
        <v>51</v>
      </c>
      <c r="J266" t="s">
        <v>122</v>
      </c>
    </row>
    <row r="267" spans="1:10" x14ac:dyDescent="0.35">
      <c r="A267" t="s">
        <v>392</v>
      </c>
      <c r="B267" s="2">
        <v>46104</v>
      </c>
      <c r="C267" t="s">
        <v>34</v>
      </c>
      <c r="D267" t="s">
        <v>63</v>
      </c>
      <c r="E267" t="s">
        <v>30</v>
      </c>
      <c r="F267">
        <v>4</v>
      </c>
      <c r="G267">
        <v>68000</v>
      </c>
      <c r="H267">
        <v>272000</v>
      </c>
      <c r="I267" t="s">
        <v>36</v>
      </c>
      <c r="J267" t="s">
        <v>46</v>
      </c>
    </row>
    <row r="268" spans="1:10" x14ac:dyDescent="0.35">
      <c r="A268" t="s">
        <v>393</v>
      </c>
      <c r="B268" s="2">
        <v>46105</v>
      </c>
      <c r="C268" t="s">
        <v>106</v>
      </c>
      <c r="D268" t="s">
        <v>58</v>
      </c>
      <c r="E268" t="s">
        <v>70</v>
      </c>
      <c r="F268">
        <v>1</v>
      </c>
      <c r="G268">
        <v>28000</v>
      </c>
      <c r="H268">
        <v>28000</v>
      </c>
      <c r="I268" t="s">
        <v>51</v>
      </c>
      <c r="J268" t="s">
        <v>60</v>
      </c>
    </row>
    <row r="269" spans="1:10" x14ac:dyDescent="0.35">
      <c r="A269" t="s">
        <v>394</v>
      </c>
      <c r="B269" s="2">
        <v>46106</v>
      </c>
      <c r="C269" t="s">
        <v>109</v>
      </c>
      <c r="D269" t="s">
        <v>69</v>
      </c>
      <c r="E269" t="s">
        <v>35</v>
      </c>
      <c r="F269">
        <v>4</v>
      </c>
      <c r="G269">
        <v>120000</v>
      </c>
      <c r="H269">
        <v>480000</v>
      </c>
      <c r="I269" t="s">
        <v>31</v>
      </c>
      <c r="J269" t="s">
        <v>56</v>
      </c>
    </row>
    <row r="270" spans="1:10" x14ac:dyDescent="0.35">
      <c r="A270" t="s">
        <v>395</v>
      </c>
      <c r="B270" s="2">
        <v>46107</v>
      </c>
      <c r="C270" t="s">
        <v>28</v>
      </c>
      <c r="D270" t="s">
        <v>172</v>
      </c>
      <c r="E270" t="s">
        <v>66</v>
      </c>
      <c r="F270">
        <v>4</v>
      </c>
      <c r="G270">
        <v>28000</v>
      </c>
      <c r="H270">
        <v>112000</v>
      </c>
      <c r="I270" t="s">
        <v>31</v>
      </c>
      <c r="J270" t="s">
        <v>56</v>
      </c>
    </row>
    <row r="271" spans="1:10" x14ac:dyDescent="0.35">
      <c r="A271" t="s">
        <v>396</v>
      </c>
      <c r="B271" s="2">
        <v>46108</v>
      </c>
      <c r="C271" t="s">
        <v>102</v>
      </c>
      <c r="D271" t="s">
        <v>78</v>
      </c>
      <c r="E271" t="s">
        <v>30</v>
      </c>
      <c r="F271">
        <v>1</v>
      </c>
      <c r="G271">
        <v>185000</v>
      </c>
      <c r="H271">
        <v>185000</v>
      </c>
      <c r="I271" t="s">
        <v>36</v>
      </c>
      <c r="J271" t="s">
        <v>37</v>
      </c>
    </row>
    <row r="272" spans="1:10" x14ac:dyDescent="0.35">
      <c r="A272" t="s">
        <v>397</v>
      </c>
      <c r="B272" s="2">
        <v>46109</v>
      </c>
      <c r="C272" t="s">
        <v>94</v>
      </c>
      <c r="D272" t="s">
        <v>172</v>
      </c>
      <c r="E272" t="s">
        <v>35</v>
      </c>
      <c r="F272">
        <v>2</v>
      </c>
      <c r="G272">
        <v>45000</v>
      </c>
      <c r="H272">
        <v>90000</v>
      </c>
      <c r="I272" t="s">
        <v>31</v>
      </c>
      <c r="J272" t="s">
        <v>122</v>
      </c>
    </row>
    <row r="273" spans="1:10" x14ac:dyDescent="0.35">
      <c r="A273" t="s">
        <v>398</v>
      </c>
      <c r="B273" s="2">
        <v>46110</v>
      </c>
      <c r="C273" t="s">
        <v>133</v>
      </c>
      <c r="D273" t="s">
        <v>253</v>
      </c>
      <c r="E273" t="s">
        <v>66</v>
      </c>
      <c r="F273">
        <v>2</v>
      </c>
      <c r="G273">
        <v>45000</v>
      </c>
      <c r="H273">
        <v>90000</v>
      </c>
      <c r="I273" t="s">
        <v>36</v>
      </c>
      <c r="J273" t="s">
        <v>60</v>
      </c>
    </row>
    <row r="274" spans="1:10" x14ac:dyDescent="0.35">
      <c r="A274" t="s">
        <v>399</v>
      </c>
      <c r="B274" s="2">
        <v>46111</v>
      </c>
      <c r="C274" t="s">
        <v>161</v>
      </c>
      <c r="D274" t="s">
        <v>103</v>
      </c>
      <c r="E274" t="s">
        <v>66</v>
      </c>
      <c r="F274">
        <v>4</v>
      </c>
      <c r="G274">
        <v>95000</v>
      </c>
      <c r="H274">
        <v>380000</v>
      </c>
      <c r="I274" t="s">
        <v>31</v>
      </c>
      <c r="J274" t="s">
        <v>60</v>
      </c>
    </row>
    <row r="275" spans="1:10" x14ac:dyDescent="0.35">
      <c r="A275" t="s">
        <v>400</v>
      </c>
      <c r="B275" s="2">
        <v>46112</v>
      </c>
      <c r="C275" t="s">
        <v>133</v>
      </c>
      <c r="D275" t="s">
        <v>175</v>
      </c>
      <c r="E275" t="s">
        <v>55</v>
      </c>
      <c r="F275">
        <v>1</v>
      </c>
      <c r="G275">
        <v>45000</v>
      </c>
      <c r="H275">
        <v>45000</v>
      </c>
      <c r="I275" t="s">
        <v>51</v>
      </c>
      <c r="J275" t="s">
        <v>46</v>
      </c>
    </row>
    <row r="276" spans="1:10" x14ac:dyDescent="0.35">
      <c r="A276" t="s">
        <v>401</v>
      </c>
      <c r="B276" s="2">
        <v>46113</v>
      </c>
      <c r="C276" t="s">
        <v>82</v>
      </c>
      <c r="D276" t="s">
        <v>73</v>
      </c>
      <c r="E276" t="s">
        <v>30</v>
      </c>
      <c r="F276">
        <v>2</v>
      </c>
      <c r="G276">
        <v>28000</v>
      </c>
      <c r="H276">
        <v>56000</v>
      </c>
      <c r="I276" t="s">
        <v>51</v>
      </c>
      <c r="J276" t="s">
        <v>46</v>
      </c>
    </row>
    <row r="277" spans="1:10" x14ac:dyDescent="0.35">
      <c r="A277" t="s">
        <v>402</v>
      </c>
      <c r="B277" s="2">
        <v>46114</v>
      </c>
      <c r="C277" t="s">
        <v>133</v>
      </c>
      <c r="D277" t="s">
        <v>90</v>
      </c>
      <c r="E277" t="s">
        <v>66</v>
      </c>
      <c r="F277">
        <v>1</v>
      </c>
      <c r="G277">
        <v>540000</v>
      </c>
      <c r="H277">
        <v>540000</v>
      </c>
      <c r="I277" t="s">
        <v>51</v>
      </c>
      <c r="J277" t="s">
        <v>60</v>
      </c>
    </row>
    <row r="278" spans="1:10" x14ac:dyDescent="0.35">
      <c r="A278" t="s">
        <v>403</v>
      </c>
      <c r="B278" s="2">
        <v>46115</v>
      </c>
      <c r="C278" t="s">
        <v>135</v>
      </c>
      <c r="D278" t="s">
        <v>208</v>
      </c>
      <c r="E278" t="s">
        <v>55</v>
      </c>
      <c r="F278">
        <v>1</v>
      </c>
      <c r="G278">
        <v>365000</v>
      </c>
      <c r="H278">
        <v>365000</v>
      </c>
      <c r="I278" t="s">
        <v>51</v>
      </c>
      <c r="J278" t="s">
        <v>146</v>
      </c>
    </row>
    <row r="279" spans="1:10" x14ac:dyDescent="0.35">
      <c r="A279" t="s">
        <v>404</v>
      </c>
      <c r="B279" s="2">
        <v>46116</v>
      </c>
      <c r="C279" t="s">
        <v>133</v>
      </c>
      <c r="D279" t="s">
        <v>269</v>
      </c>
      <c r="E279" t="s">
        <v>35</v>
      </c>
      <c r="F279">
        <v>1</v>
      </c>
      <c r="G279">
        <v>28000</v>
      </c>
      <c r="H279">
        <v>28000</v>
      </c>
      <c r="I279" t="s">
        <v>36</v>
      </c>
      <c r="J279" t="s">
        <v>60</v>
      </c>
    </row>
    <row r="280" spans="1:10" x14ac:dyDescent="0.35">
      <c r="A280" t="s">
        <v>405</v>
      </c>
      <c r="B280" s="2">
        <v>46117</v>
      </c>
      <c r="C280" t="s">
        <v>102</v>
      </c>
      <c r="D280" t="s">
        <v>69</v>
      </c>
      <c r="E280" t="s">
        <v>59</v>
      </c>
      <c r="F280">
        <v>5</v>
      </c>
      <c r="G280">
        <v>28000</v>
      </c>
      <c r="H280">
        <v>140000</v>
      </c>
      <c r="I280" t="s">
        <v>31</v>
      </c>
      <c r="J280" t="s">
        <v>37</v>
      </c>
    </row>
    <row r="281" spans="1:10" x14ac:dyDescent="0.35">
      <c r="A281" t="s">
        <v>406</v>
      </c>
      <c r="B281" s="2">
        <v>46118</v>
      </c>
      <c r="C281" t="s">
        <v>102</v>
      </c>
      <c r="D281" t="s">
        <v>246</v>
      </c>
      <c r="E281" t="s">
        <v>30</v>
      </c>
      <c r="F281">
        <v>1</v>
      </c>
      <c r="G281">
        <v>280000</v>
      </c>
      <c r="H281">
        <v>280000</v>
      </c>
      <c r="I281" t="s">
        <v>36</v>
      </c>
      <c r="J281" t="s">
        <v>60</v>
      </c>
    </row>
    <row r="282" spans="1:10" x14ac:dyDescent="0.35">
      <c r="A282" t="s">
        <v>407</v>
      </c>
      <c r="B282" s="2">
        <v>46119</v>
      </c>
      <c r="C282" t="s">
        <v>117</v>
      </c>
      <c r="D282" t="s">
        <v>158</v>
      </c>
      <c r="E282" t="s">
        <v>70</v>
      </c>
      <c r="F282">
        <v>5</v>
      </c>
      <c r="G282">
        <v>365000</v>
      </c>
      <c r="H282">
        <v>1825000</v>
      </c>
      <c r="I282" t="s">
        <v>51</v>
      </c>
      <c r="J282" t="s">
        <v>32</v>
      </c>
    </row>
    <row r="283" spans="1:10" x14ac:dyDescent="0.35">
      <c r="A283" t="s">
        <v>408</v>
      </c>
      <c r="B283" s="2">
        <v>46120</v>
      </c>
      <c r="C283" t="s">
        <v>97</v>
      </c>
      <c r="D283" t="s">
        <v>153</v>
      </c>
      <c r="E283" t="s">
        <v>95</v>
      </c>
      <c r="F283">
        <v>4</v>
      </c>
      <c r="G283">
        <v>185000</v>
      </c>
      <c r="H283">
        <v>740000</v>
      </c>
      <c r="I283" t="s">
        <v>36</v>
      </c>
      <c r="J283" t="s">
        <v>84</v>
      </c>
    </row>
    <row r="284" spans="1:10" x14ac:dyDescent="0.35">
      <c r="A284" t="s">
        <v>409</v>
      </c>
      <c r="B284" s="2">
        <v>46121</v>
      </c>
      <c r="C284" t="s">
        <v>75</v>
      </c>
      <c r="D284" t="s">
        <v>410</v>
      </c>
      <c r="E284" t="s">
        <v>95</v>
      </c>
      <c r="F284">
        <v>2</v>
      </c>
      <c r="G284">
        <v>45000</v>
      </c>
      <c r="H284">
        <v>90000</v>
      </c>
      <c r="I284" t="s">
        <v>31</v>
      </c>
      <c r="J284" t="s">
        <v>32</v>
      </c>
    </row>
    <row r="285" spans="1:10" x14ac:dyDescent="0.35">
      <c r="A285" t="s">
        <v>411</v>
      </c>
      <c r="B285" s="2">
        <v>46122</v>
      </c>
      <c r="C285" t="s">
        <v>161</v>
      </c>
      <c r="D285" t="s">
        <v>188</v>
      </c>
      <c r="E285" t="s">
        <v>35</v>
      </c>
      <c r="F285">
        <v>2</v>
      </c>
      <c r="G285">
        <v>365000</v>
      </c>
      <c r="H285">
        <v>730000</v>
      </c>
      <c r="I285" t="s">
        <v>36</v>
      </c>
      <c r="J285" t="s">
        <v>32</v>
      </c>
    </row>
    <row r="286" spans="1:10" x14ac:dyDescent="0.35">
      <c r="A286" t="s">
        <v>412</v>
      </c>
      <c r="B286" s="2">
        <v>46123</v>
      </c>
      <c r="C286" t="s">
        <v>120</v>
      </c>
      <c r="D286" t="s">
        <v>115</v>
      </c>
      <c r="E286" t="s">
        <v>41</v>
      </c>
      <c r="F286">
        <v>2</v>
      </c>
      <c r="G286">
        <v>45000</v>
      </c>
      <c r="H286">
        <v>90000</v>
      </c>
      <c r="I286" t="s">
        <v>31</v>
      </c>
      <c r="J286" t="s">
        <v>146</v>
      </c>
    </row>
    <row r="287" spans="1:10" x14ac:dyDescent="0.35">
      <c r="A287" t="s">
        <v>413</v>
      </c>
      <c r="B287" s="2">
        <v>46124</v>
      </c>
      <c r="C287" t="s">
        <v>120</v>
      </c>
      <c r="D287" t="s">
        <v>143</v>
      </c>
      <c r="E287" t="s">
        <v>41</v>
      </c>
      <c r="F287">
        <v>2</v>
      </c>
      <c r="G287">
        <v>95000</v>
      </c>
      <c r="H287">
        <v>190000</v>
      </c>
      <c r="I287" t="s">
        <v>36</v>
      </c>
      <c r="J287" t="s">
        <v>146</v>
      </c>
    </row>
    <row r="288" spans="1:10" x14ac:dyDescent="0.35">
      <c r="A288" t="s">
        <v>414</v>
      </c>
      <c r="B288" s="2">
        <v>46125</v>
      </c>
      <c r="C288" t="s">
        <v>72</v>
      </c>
      <c r="D288" t="s">
        <v>78</v>
      </c>
      <c r="E288" t="s">
        <v>35</v>
      </c>
      <c r="F288">
        <v>2</v>
      </c>
      <c r="G288">
        <v>365000</v>
      </c>
      <c r="H288">
        <v>730000</v>
      </c>
      <c r="I288" t="s">
        <v>31</v>
      </c>
      <c r="J288" t="s">
        <v>56</v>
      </c>
    </row>
    <row r="289" spans="1:10" x14ac:dyDescent="0.35">
      <c r="A289" t="s">
        <v>415</v>
      </c>
      <c r="B289" s="2">
        <v>46126</v>
      </c>
      <c r="C289" t="s">
        <v>109</v>
      </c>
      <c r="D289" t="s">
        <v>107</v>
      </c>
      <c r="E289" t="s">
        <v>66</v>
      </c>
      <c r="F289">
        <v>2</v>
      </c>
      <c r="G289">
        <v>45000</v>
      </c>
      <c r="H289">
        <v>90000</v>
      </c>
      <c r="I289" t="s">
        <v>31</v>
      </c>
      <c r="J289" t="s">
        <v>60</v>
      </c>
    </row>
    <row r="290" spans="1:10" x14ac:dyDescent="0.35">
      <c r="A290" t="s">
        <v>416</v>
      </c>
      <c r="B290" s="2">
        <v>46127</v>
      </c>
      <c r="C290" t="s">
        <v>102</v>
      </c>
      <c r="D290" t="s">
        <v>253</v>
      </c>
      <c r="E290" t="s">
        <v>30</v>
      </c>
      <c r="F290">
        <v>2</v>
      </c>
      <c r="G290">
        <v>185000</v>
      </c>
      <c r="H290">
        <v>370000</v>
      </c>
      <c r="I290" t="s">
        <v>51</v>
      </c>
      <c r="J290" t="s">
        <v>32</v>
      </c>
    </row>
    <row r="291" spans="1:10" x14ac:dyDescent="0.35">
      <c r="A291" t="s">
        <v>417</v>
      </c>
      <c r="B291" s="2">
        <v>46128</v>
      </c>
      <c r="C291" t="s">
        <v>62</v>
      </c>
      <c r="D291" t="s">
        <v>113</v>
      </c>
      <c r="E291" t="s">
        <v>95</v>
      </c>
      <c r="F291">
        <v>4</v>
      </c>
      <c r="G291">
        <v>18000</v>
      </c>
      <c r="H291">
        <v>72000</v>
      </c>
      <c r="I291" t="s">
        <v>31</v>
      </c>
      <c r="J291" t="s">
        <v>146</v>
      </c>
    </row>
    <row r="292" spans="1:10" x14ac:dyDescent="0.35">
      <c r="A292" t="s">
        <v>418</v>
      </c>
      <c r="B292" s="2">
        <v>46129</v>
      </c>
      <c r="C292" t="s">
        <v>106</v>
      </c>
      <c r="D292" t="s">
        <v>183</v>
      </c>
      <c r="E292" t="s">
        <v>95</v>
      </c>
      <c r="F292">
        <v>1</v>
      </c>
      <c r="G292">
        <v>68000</v>
      </c>
      <c r="H292">
        <v>68000</v>
      </c>
      <c r="I292" t="s">
        <v>51</v>
      </c>
      <c r="J292" t="s">
        <v>46</v>
      </c>
    </row>
    <row r="293" spans="1:10" x14ac:dyDescent="0.35">
      <c r="A293" t="s">
        <v>419</v>
      </c>
      <c r="B293" s="2">
        <v>46130</v>
      </c>
      <c r="C293" t="s">
        <v>68</v>
      </c>
      <c r="D293" t="s">
        <v>63</v>
      </c>
      <c r="E293" t="s">
        <v>66</v>
      </c>
      <c r="F293">
        <v>3</v>
      </c>
      <c r="G293">
        <v>68000</v>
      </c>
      <c r="H293">
        <v>204000</v>
      </c>
      <c r="I293" t="s">
        <v>51</v>
      </c>
      <c r="J293" t="s">
        <v>60</v>
      </c>
    </row>
    <row r="294" spans="1:10" x14ac:dyDescent="0.35">
      <c r="A294" t="s">
        <v>420</v>
      </c>
      <c r="B294" s="2">
        <v>46131</v>
      </c>
      <c r="C294" t="s">
        <v>112</v>
      </c>
      <c r="D294" t="s">
        <v>78</v>
      </c>
      <c r="E294" t="s">
        <v>95</v>
      </c>
      <c r="F294">
        <v>5</v>
      </c>
      <c r="G294">
        <v>185000</v>
      </c>
      <c r="H294">
        <v>925000</v>
      </c>
      <c r="I294" t="s">
        <v>51</v>
      </c>
      <c r="J294" t="s">
        <v>37</v>
      </c>
    </row>
    <row r="295" spans="1:10" x14ac:dyDescent="0.35">
      <c r="A295" t="s">
        <v>421</v>
      </c>
      <c r="B295" s="2">
        <v>46132</v>
      </c>
      <c r="C295" t="s">
        <v>75</v>
      </c>
      <c r="D295" t="s">
        <v>239</v>
      </c>
      <c r="E295" t="s">
        <v>70</v>
      </c>
      <c r="F295">
        <v>3</v>
      </c>
      <c r="G295">
        <v>280000</v>
      </c>
      <c r="H295">
        <v>840000</v>
      </c>
      <c r="I295" t="s">
        <v>36</v>
      </c>
      <c r="J295" t="s">
        <v>84</v>
      </c>
    </row>
    <row r="296" spans="1:10" x14ac:dyDescent="0.35">
      <c r="A296" t="s">
        <v>422</v>
      </c>
      <c r="B296" s="2">
        <v>46133</v>
      </c>
      <c r="C296" t="s">
        <v>88</v>
      </c>
      <c r="D296" t="s">
        <v>335</v>
      </c>
      <c r="E296" t="s">
        <v>30</v>
      </c>
      <c r="F296">
        <v>3</v>
      </c>
      <c r="G296">
        <v>18000</v>
      </c>
      <c r="H296">
        <v>54000</v>
      </c>
      <c r="I296" t="s">
        <v>36</v>
      </c>
      <c r="J296" t="s">
        <v>122</v>
      </c>
    </row>
    <row r="297" spans="1:10" x14ac:dyDescent="0.35">
      <c r="A297" t="s">
        <v>423</v>
      </c>
      <c r="B297" s="2">
        <v>46134</v>
      </c>
      <c r="C297" t="s">
        <v>75</v>
      </c>
      <c r="D297" t="s">
        <v>113</v>
      </c>
      <c r="E297" t="s">
        <v>45</v>
      </c>
      <c r="F297">
        <v>1</v>
      </c>
      <c r="G297">
        <v>95000</v>
      </c>
      <c r="H297">
        <v>95000</v>
      </c>
      <c r="I297" t="s">
        <v>36</v>
      </c>
      <c r="J297" t="s">
        <v>60</v>
      </c>
    </row>
    <row r="298" spans="1:10" x14ac:dyDescent="0.35">
      <c r="A298" t="s">
        <v>424</v>
      </c>
      <c r="B298" s="2">
        <v>46135</v>
      </c>
      <c r="C298" t="s">
        <v>48</v>
      </c>
      <c r="D298" t="s">
        <v>198</v>
      </c>
      <c r="E298" t="s">
        <v>95</v>
      </c>
      <c r="F298">
        <v>1</v>
      </c>
      <c r="G298">
        <v>185000</v>
      </c>
      <c r="H298">
        <v>185000</v>
      </c>
      <c r="I298" t="s">
        <v>36</v>
      </c>
      <c r="J298" t="s">
        <v>122</v>
      </c>
    </row>
    <row r="299" spans="1:10" x14ac:dyDescent="0.35">
      <c r="A299" t="s">
        <v>425</v>
      </c>
      <c r="B299" s="2">
        <v>46136</v>
      </c>
      <c r="C299" t="s">
        <v>82</v>
      </c>
      <c r="D299" t="s">
        <v>98</v>
      </c>
      <c r="E299" t="s">
        <v>35</v>
      </c>
      <c r="F299">
        <v>1</v>
      </c>
      <c r="G299">
        <v>68000</v>
      </c>
      <c r="H299">
        <v>68000</v>
      </c>
      <c r="I299" t="s">
        <v>31</v>
      </c>
      <c r="J299" t="s">
        <v>32</v>
      </c>
    </row>
    <row r="300" spans="1:10" x14ac:dyDescent="0.35">
      <c r="A300" t="s">
        <v>426</v>
      </c>
      <c r="B300" s="2">
        <v>46137</v>
      </c>
      <c r="C300" t="s">
        <v>135</v>
      </c>
      <c r="D300" t="s">
        <v>239</v>
      </c>
      <c r="E300" t="s">
        <v>70</v>
      </c>
      <c r="F300">
        <v>2</v>
      </c>
      <c r="G300">
        <v>68000</v>
      </c>
      <c r="H300">
        <v>136000</v>
      </c>
      <c r="I300" t="s">
        <v>31</v>
      </c>
      <c r="J300" t="s">
        <v>84</v>
      </c>
    </row>
    <row r="301" spans="1:10" x14ac:dyDescent="0.35">
      <c r="A301" t="s">
        <v>427</v>
      </c>
      <c r="B301" s="2">
        <v>46138</v>
      </c>
      <c r="C301" t="s">
        <v>133</v>
      </c>
      <c r="D301" t="s">
        <v>98</v>
      </c>
      <c r="E301" t="s">
        <v>95</v>
      </c>
      <c r="F301">
        <v>4</v>
      </c>
      <c r="G301">
        <v>68000</v>
      </c>
      <c r="H301">
        <v>272000</v>
      </c>
      <c r="I301" t="s">
        <v>36</v>
      </c>
      <c r="J301" t="s">
        <v>122</v>
      </c>
    </row>
    <row r="302" spans="1:10" x14ac:dyDescent="0.35">
      <c r="A302" t="s">
        <v>428</v>
      </c>
      <c r="B302" s="2">
        <v>46139</v>
      </c>
      <c r="C302" t="s">
        <v>112</v>
      </c>
      <c r="D302" t="s">
        <v>175</v>
      </c>
      <c r="E302" t="s">
        <v>70</v>
      </c>
      <c r="F302">
        <v>2</v>
      </c>
      <c r="G302">
        <v>120000</v>
      </c>
      <c r="H302">
        <v>240000</v>
      </c>
      <c r="I302" t="s">
        <v>31</v>
      </c>
      <c r="J302" t="s">
        <v>32</v>
      </c>
    </row>
    <row r="303" spans="1:10" x14ac:dyDescent="0.35">
      <c r="A303" t="s">
        <v>429</v>
      </c>
      <c r="B303" s="2">
        <v>46140</v>
      </c>
      <c r="C303" t="s">
        <v>82</v>
      </c>
      <c r="D303" t="s">
        <v>100</v>
      </c>
      <c r="E303" t="s">
        <v>55</v>
      </c>
      <c r="F303">
        <v>4</v>
      </c>
      <c r="G303">
        <v>185000</v>
      </c>
      <c r="H303">
        <v>740000</v>
      </c>
      <c r="I303" t="s">
        <v>31</v>
      </c>
      <c r="J303" t="s">
        <v>46</v>
      </c>
    </row>
    <row r="304" spans="1:10" x14ac:dyDescent="0.35">
      <c r="A304" t="s">
        <v>430</v>
      </c>
      <c r="B304" s="2">
        <v>46141</v>
      </c>
      <c r="C304" t="s">
        <v>161</v>
      </c>
      <c r="D304" t="s">
        <v>239</v>
      </c>
      <c r="E304" t="s">
        <v>45</v>
      </c>
      <c r="F304">
        <v>4</v>
      </c>
      <c r="G304">
        <v>28000</v>
      </c>
      <c r="H304">
        <v>112000</v>
      </c>
      <c r="I304" t="s">
        <v>51</v>
      </c>
      <c r="J304" t="s">
        <v>122</v>
      </c>
    </row>
    <row r="305" spans="1:10" x14ac:dyDescent="0.35">
      <c r="A305" t="s">
        <v>431</v>
      </c>
      <c r="B305" s="2">
        <v>46142</v>
      </c>
      <c r="C305" t="s">
        <v>34</v>
      </c>
      <c r="D305" t="s">
        <v>83</v>
      </c>
      <c r="E305" t="s">
        <v>50</v>
      </c>
      <c r="F305">
        <v>3</v>
      </c>
      <c r="G305">
        <v>95000</v>
      </c>
      <c r="H305">
        <v>285000</v>
      </c>
      <c r="I305" t="s">
        <v>51</v>
      </c>
      <c r="J305" t="s">
        <v>84</v>
      </c>
    </row>
    <row r="306" spans="1:10" x14ac:dyDescent="0.35">
      <c r="A306" t="s">
        <v>432</v>
      </c>
      <c r="B306" s="2">
        <v>46143</v>
      </c>
      <c r="C306" t="s">
        <v>102</v>
      </c>
      <c r="D306" t="s">
        <v>98</v>
      </c>
      <c r="E306" t="s">
        <v>35</v>
      </c>
      <c r="F306">
        <v>3</v>
      </c>
      <c r="G306">
        <v>68000</v>
      </c>
      <c r="H306">
        <v>204000</v>
      </c>
      <c r="I306" t="s">
        <v>51</v>
      </c>
      <c r="J306" t="s">
        <v>56</v>
      </c>
    </row>
    <row r="307" spans="1:10" x14ac:dyDescent="0.35">
      <c r="A307" t="s">
        <v>433</v>
      </c>
      <c r="B307" s="2">
        <v>46144</v>
      </c>
      <c r="C307" t="s">
        <v>112</v>
      </c>
      <c r="D307" t="s">
        <v>98</v>
      </c>
      <c r="E307" t="s">
        <v>35</v>
      </c>
      <c r="F307">
        <v>4</v>
      </c>
      <c r="G307">
        <v>45000</v>
      </c>
      <c r="H307">
        <v>180000</v>
      </c>
      <c r="I307" t="s">
        <v>51</v>
      </c>
      <c r="J307" t="s">
        <v>60</v>
      </c>
    </row>
    <row r="308" spans="1:10" x14ac:dyDescent="0.35">
      <c r="A308" t="s">
        <v>434</v>
      </c>
      <c r="B308" s="2">
        <v>46145</v>
      </c>
      <c r="C308" t="s">
        <v>97</v>
      </c>
      <c r="D308" t="s">
        <v>103</v>
      </c>
      <c r="E308" t="s">
        <v>30</v>
      </c>
      <c r="F308">
        <v>4</v>
      </c>
      <c r="G308">
        <v>185000</v>
      </c>
      <c r="H308">
        <v>740000</v>
      </c>
      <c r="I308" t="s">
        <v>31</v>
      </c>
      <c r="J308" t="s">
        <v>32</v>
      </c>
    </row>
    <row r="309" spans="1:10" x14ac:dyDescent="0.35">
      <c r="A309" t="s">
        <v>435</v>
      </c>
      <c r="B309" s="2">
        <v>46146</v>
      </c>
      <c r="C309" t="s">
        <v>48</v>
      </c>
      <c r="D309" t="s">
        <v>246</v>
      </c>
      <c r="E309" t="s">
        <v>70</v>
      </c>
      <c r="F309">
        <v>2</v>
      </c>
      <c r="G309">
        <v>120000</v>
      </c>
      <c r="H309">
        <v>240000</v>
      </c>
      <c r="I309" t="s">
        <v>36</v>
      </c>
      <c r="J309" t="s">
        <v>60</v>
      </c>
    </row>
    <row r="310" spans="1:10" x14ac:dyDescent="0.35">
      <c r="A310" t="s">
        <v>436</v>
      </c>
      <c r="B310" s="2">
        <v>46147</v>
      </c>
      <c r="C310" t="s">
        <v>145</v>
      </c>
      <c r="D310" t="s">
        <v>175</v>
      </c>
      <c r="E310" t="s">
        <v>66</v>
      </c>
      <c r="F310">
        <v>2</v>
      </c>
      <c r="G310">
        <v>185000</v>
      </c>
      <c r="H310">
        <v>370000</v>
      </c>
      <c r="I310" t="s">
        <v>31</v>
      </c>
      <c r="J310" t="s">
        <v>84</v>
      </c>
    </row>
    <row r="311" spans="1:10" x14ac:dyDescent="0.35">
      <c r="A311" t="s">
        <v>437</v>
      </c>
      <c r="B311" s="2">
        <v>46148</v>
      </c>
      <c r="C311" t="s">
        <v>145</v>
      </c>
      <c r="D311" t="s">
        <v>206</v>
      </c>
      <c r="E311" t="s">
        <v>35</v>
      </c>
      <c r="F311">
        <v>3</v>
      </c>
      <c r="G311">
        <v>95000</v>
      </c>
      <c r="H311">
        <v>285000</v>
      </c>
      <c r="I311" t="s">
        <v>31</v>
      </c>
      <c r="J311" t="s">
        <v>146</v>
      </c>
    </row>
    <row r="312" spans="1:10" x14ac:dyDescent="0.35">
      <c r="A312" t="s">
        <v>438</v>
      </c>
      <c r="B312" s="2">
        <v>46149</v>
      </c>
      <c r="C312" t="s">
        <v>120</v>
      </c>
      <c r="D312" t="s">
        <v>92</v>
      </c>
      <c r="E312" t="s">
        <v>70</v>
      </c>
      <c r="F312">
        <v>1</v>
      </c>
      <c r="G312">
        <v>120000</v>
      </c>
      <c r="H312">
        <v>120000</v>
      </c>
      <c r="I312" t="s">
        <v>31</v>
      </c>
      <c r="J312" t="s">
        <v>32</v>
      </c>
    </row>
    <row r="313" spans="1:10" x14ac:dyDescent="0.35">
      <c r="A313" t="s">
        <v>439</v>
      </c>
      <c r="B313" s="2">
        <v>46150</v>
      </c>
      <c r="C313" t="s">
        <v>167</v>
      </c>
      <c r="D313" t="s">
        <v>110</v>
      </c>
      <c r="E313" t="s">
        <v>70</v>
      </c>
      <c r="F313">
        <v>4</v>
      </c>
      <c r="G313">
        <v>95000</v>
      </c>
      <c r="H313">
        <v>380000</v>
      </c>
      <c r="I313" t="s">
        <v>51</v>
      </c>
      <c r="J313" t="s">
        <v>122</v>
      </c>
    </row>
    <row r="314" spans="1:10" x14ac:dyDescent="0.35">
      <c r="A314" t="s">
        <v>440</v>
      </c>
      <c r="B314" s="2">
        <v>46151</v>
      </c>
      <c r="C314" t="s">
        <v>117</v>
      </c>
      <c r="D314" t="s">
        <v>178</v>
      </c>
      <c r="E314" t="s">
        <v>59</v>
      </c>
      <c r="F314">
        <v>2</v>
      </c>
      <c r="G314">
        <v>185000</v>
      </c>
      <c r="H314">
        <v>370000</v>
      </c>
      <c r="I314" t="s">
        <v>51</v>
      </c>
      <c r="J314" t="s">
        <v>32</v>
      </c>
    </row>
    <row r="315" spans="1:10" x14ac:dyDescent="0.35">
      <c r="A315" t="s">
        <v>441</v>
      </c>
      <c r="B315" s="2">
        <v>46152</v>
      </c>
      <c r="C315" t="s">
        <v>135</v>
      </c>
      <c r="D315" t="s">
        <v>208</v>
      </c>
      <c r="E315" t="s">
        <v>59</v>
      </c>
      <c r="F315">
        <v>3</v>
      </c>
      <c r="G315">
        <v>28000</v>
      </c>
      <c r="H315">
        <v>84000</v>
      </c>
      <c r="I315" t="s">
        <v>51</v>
      </c>
      <c r="J315" t="s">
        <v>60</v>
      </c>
    </row>
    <row r="316" spans="1:10" x14ac:dyDescent="0.35">
      <c r="A316" t="s">
        <v>442</v>
      </c>
      <c r="B316" s="2">
        <v>46153</v>
      </c>
      <c r="C316" t="s">
        <v>112</v>
      </c>
      <c r="D316" t="s">
        <v>80</v>
      </c>
      <c r="E316" t="s">
        <v>50</v>
      </c>
      <c r="F316">
        <v>2</v>
      </c>
      <c r="G316">
        <v>95000</v>
      </c>
      <c r="H316">
        <v>190000</v>
      </c>
      <c r="I316" t="s">
        <v>36</v>
      </c>
      <c r="J316" t="s">
        <v>46</v>
      </c>
    </row>
    <row r="317" spans="1:10" x14ac:dyDescent="0.35">
      <c r="A317" t="s">
        <v>443</v>
      </c>
      <c r="B317" s="2">
        <v>46154</v>
      </c>
      <c r="C317" t="s">
        <v>145</v>
      </c>
      <c r="D317" t="s">
        <v>98</v>
      </c>
      <c r="E317" t="s">
        <v>55</v>
      </c>
      <c r="F317">
        <v>4</v>
      </c>
      <c r="G317">
        <v>120000</v>
      </c>
      <c r="H317">
        <v>480000</v>
      </c>
      <c r="I317" t="s">
        <v>31</v>
      </c>
      <c r="J317" t="s">
        <v>32</v>
      </c>
    </row>
    <row r="318" spans="1:10" x14ac:dyDescent="0.35">
      <c r="A318" t="s">
        <v>444</v>
      </c>
      <c r="B318" s="2">
        <v>46155</v>
      </c>
      <c r="C318" t="s">
        <v>39</v>
      </c>
      <c r="D318" t="s">
        <v>125</v>
      </c>
      <c r="E318" t="s">
        <v>50</v>
      </c>
      <c r="F318">
        <v>4</v>
      </c>
      <c r="G318">
        <v>120000</v>
      </c>
      <c r="H318">
        <v>480000</v>
      </c>
      <c r="I318" t="s">
        <v>36</v>
      </c>
      <c r="J318" t="s">
        <v>122</v>
      </c>
    </row>
    <row r="319" spans="1:10" x14ac:dyDescent="0.35">
      <c r="A319" t="s">
        <v>445</v>
      </c>
      <c r="B319" s="2">
        <v>46156</v>
      </c>
      <c r="C319" t="s">
        <v>94</v>
      </c>
      <c r="D319" t="s">
        <v>141</v>
      </c>
      <c r="E319" t="s">
        <v>95</v>
      </c>
      <c r="F319">
        <v>5</v>
      </c>
      <c r="G319">
        <v>95000</v>
      </c>
      <c r="H319">
        <v>475000</v>
      </c>
      <c r="I319" t="s">
        <v>51</v>
      </c>
      <c r="J319" t="s">
        <v>146</v>
      </c>
    </row>
    <row r="320" spans="1:10" x14ac:dyDescent="0.35">
      <c r="A320" t="s">
        <v>446</v>
      </c>
      <c r="B320" s="2">
        <v>46157</v>
      </c>
      <c r="C320" t="s">
        <v>34</v>
      </c>
      <c r="D320" t="s">
        <v>80</v>
      </c>
      <c r="E320" t="s">
        <v>66</v>
      </c>
      <c r="F320">
        <v>1</v>
      </c>
      <c r="G320">
        <v>540000</v>
      </c>
      <c r="H320">
        <v>540000</v>
      </c>
      <c r="I320" t="s">
        <v>36</v>
      </c>
      <c r="J320" t="s">
        <v>56</v>
      </c>
    </row>
    <row r="321" spans="1:10" x14ac:dyDescent="0.35">
      <c r="A321" t="s">
        <v>447</v>
      </c>
      <c r="B321" s="2">
        <v>46158</v>
      </c>
      <c r="C321" t="s">
        <v>117</v>
      </c>
      <c r="D321" t="s">
        <v>162</v>
      </c>
      <c r="E321" t="s">
        <v>95</v>
      </c>
      <c r="F321">
        <v>5</v>
      </c>
      <c r="G321">
        <v>185000</v>
      </c>
      <c r="H321">
        <v>925000</v>
      </c>
      <c r="I321" t="s">
        <v>31</v>
      </c>
      <c r="J321" t="s">
        <v>37</v>
      </c>
    </row>
    <row r="322" spans="1:10" x14ac:dyDescent="0.35">
      <c r="A322" t="s">
        <v>448</v>
      </c>
      <c r="B322" s="2">
        <v>46159</v>
      </c>
      <c r="C322" t="s">
        <v>135</v>
      </c>
      <c r="D322" t="s">
        <v>73</v>
      </c>
      <c r="E322" t="s">
        <v>41</v>
      </c>
      <c r="F322">
        <v>3</v>
      </c>
      <c r="G322">
        <v>540000</v>
      </c>
      <c r="H322">
        <v>1620000</v>
      </c>
      <c r="I322" t="s">
        <v>31</v>
      </c>
      <c r="J322" t="s">
        <v>46</v>
      </c>
    </row>
    <row r="323" spans="1:10" x14ac:dyDescent="0.35">
      <c r="A323" t="s">
        <v>449</v>
      </c>
      <c r="B323" s="2">
        <v>46160</v>
      </c>
      <c r="C323" t="s">
        <v>88</v>
      </c>
      <c r="D323" t="s">
        <v>54</v>
      </c>
      <c r="E323" t="s">
        <v>95</v>
      </c>
      <c r="F323">
        <v>2</v>
      </c>
      <c r="G323">
        <v>280000</v>
      </c>
      <c r="H323">
        <v>560000</v>
      </c>
      <c r="I323" t="s">
        <v>51</v>
      </c>
      <c r="J323" t="s">
        <v>56</v>
      </c>
    </row>
    <row r="324" spans="1:10" x14ac:dyDescent="0.35">
      <c r="A324" t="s">
        <v>450</v>
      </c>
      <c r="B324" s="2">
        <v>46161</v>
      </c>
      <c r="C324" t="s">
        <v>72</v>
      </c>
      <c r="D324" t="s">
        <v>269</v>
      </c>
      <c r="E324" t="s">
        <v>30</v>
      </c>
      <c r="F324">
        <v>3</v>
      </c>
      <c r="G324">
        <v>185000</v>
      </c>
      <c r="H324">
        <v>555000</v>
      </c>
      <c r="I324" t="s">
        <v>51</v>
      </c>
      <c r="J324" t="s">
        <v>146</v>
      </c>
    </row>
    <row r="325" spans="1:10" x14ac:dyDescent="0.35">
      <c r="A325" t="s">
        <v>451</v>
      </c>
      <c r="B325" s="2">
        <v>46162</v>
      </c>
      <c r="C325" t="s">
        <v>68</v>
      </c>
      <c r="D325" t="s">
        <v>40</v>
      </c>
      <c r="E325" t="s">
        <v>95</v>
      </c>
      <c r="F325">
        <v>4</v>
      </c>
      <c r="G325">
        <v>95000</v>
      </c>
      <c r="H325">
        <v>380000</v>
      </c>
      <c r="I325" t="s">
        <v>36</v>
      </c>
      <c r="J325" t="s">
        <v>32</v>
      </c>
    </row>
    <row r="326" spans="1:10" x14ac:dyDescent="0.35">
      <c r="A326" t="s">
        <v>452</v>
      </c>
      <c r="B326" s="2">
        <v>46163</v>
      </c>
      <c r="C326" t="s">
        <v>94</v>
      </c>
      <c r="D326" t="s">
        <v>69</v>
      </c>
      <c r="E326" t="s">
        <v>50</v>
      </c>
      <c r="F326">
        <v>5</v>
      </c>
      <c r="G326">
        <v>18000</v>
      </c>
      <c r="H326">
        <v>90000</v>
      </c>
      <c r="I326" t="s">
        <v>51</v>
      </c>
      <c r="J326" t="s">
        <v>60</v>
      </c>
    </row>
    <row r="327" spans="1:10" x14ac:dyDescent="0.35">
      <c r="A327" t="s">
        <v>453</v>
      </c>
      <c r="B327" s="2">
        <v>46164</v>
      </c>
      <c r="C327" t="s">
        <v>72</v>
      </c>
      <c r="D327" t="s">
        <v>127</v>
      </c>
      <c r="E327" t="s">
        <v>35</v>
      </c>
      <c r="F327">
        <v>5</v>
      </c>
      <c r="G327">
        <v>95000</v>
      </c>
      <c r="H327">
        <v>475000</v>
      </c>
      <c r="I327" t="s">
        <v>51</v>
      </c>
      <c r="J327" t="s">
        <v>84</v>
      </c>
    </row>
    <row r="328" spans="1:10" x14ac:dyDescent="0.35">
      <c r="A328" t="s">
        <v>454</v>
      </c>
      <c r="B328" s="2">
        <v>46165</v>
      </c>
      <c r="C328" t="s">
        <v>34</v>
      </c>
      <c r="D328" t="s">
        <v>201</v>
      </c>
      <c r="E328" t="s">
        <v>35</v>
      </c>
      <c r="F328">
        <v>5</v>
      </c>
      <c r="G328">
        <v>540000</v>
      </c>
      <c r="H328">
        <v>2700000</v>
      </c>
      <c r="I328" t="s">
        <v>31</v>
      </c>
      <c r="J328" t="s">
        <v>60</v>
      </c>
    </row>
    <row r="329" spans="1:10" x14ac:dyDescent="0.35">
      <c r="A329" t="s">
        <v>455</v>
      </c>
      <c r="B329" s="2">
        <v>46166</v>
      </c>
      <c r="C329" t="s">
        <v>28</v>
      </c>
      <c r="D329" t="s">
        <v>183</v>
      </c>
      <c r="E329" t="s">
        <v>59</v>
      </c>
      <c r="F329">
        <v>3</v>
      </c>
      <c r="G329">
        <v>28000</v>
      </c>
      <c r="H329">
        <v>84000</v>
      </c>
      <c r="I329" t="s">
        <v>51</v>
      </c>
      <c r="J329" t="s">
        <v>56</v>
      </c>
    </row>
    <row r="330" spans="1:10" x14ac:dyDescent="0.35">
      <c r="A330" t="s">
        <v>456</v>
      </c>
      <c r="B330" s="2">
        <v>46167</v>
      </c>
      <c r="C330" t="s">
        <v>34</v>
      </c>
      <c r="D330" t="s">
        <v>65</v>
      </c>
      <c r="E330" t="s">
        <v>66</v>
      </c>
      <c r="F330">
        <v>4</v>
      </c>
      <c r="G330">
        <v>95000</v>
      </c>
      <c r="H330">
        <v>380000</v>
      </c>
      <c r="I330" t="s">
        <v>51</v>
      </c>
      <c r="J330" t="s">
        <v>122</v>
      </c>
    </row>
    <row r="331" spans="1:10" x14ac:dyDescent="0.35">
      <c r="A331" t="s">
        <v>457</v>
      </c>
      <c r="B331" s="2">
        <v>46168</v>
      </c>
      <c r="C331" t="s">
        <v>167</v>
      </c>
      <c r="D331" t="s">
        <v>83</v>
      </c>
      <c r="E331" t="s">
        <v>66</v>
      </c>
      <c r="F331">
        <v>2</v>
      </c>
      <c r="G331">
        <v>95000</v>
      </c>
      <c r="H331">
        <v>190000</v>
      </c>
      <c r="I331" t="s">
        <v>31</v>
      </c>
      <c r="J331" t="s">
        <v>60</v>
      </c>
    </row>
    <row r="332" spans="1:10" x14ac:dyDescent="0.35">
      <c r="A332" t="s">
        <v>458</v>
      </c>
      <c r="B332" s="2">
        <v>46169</v>
      </c>
      <c r="C332" t="s">
        <v>120</v>
      </c>
      <c r="D332" t="s">
        <v>58</v>
      </c>
      <c r="E332" t="s">
        <v>30</v>
      </c>
      <c r="F332">
        <v>2</v>
      </c>
      <c r="G332">
        <v>28000</v>
      </c>
      <c r="H332">
        <v>56000</v>
      </c>
      <c r="I332" t="s">
        <v>31</v>
      </c>
      <c r="J332" t="s">
        <v>46</v>
      </c>
    </row>
    <row r="333" spans="1:10" x14ac:dyDescent="0.35">
      <c r="A333" t="s">
        <v>459</v>
      </c>
      <c r="B333" s="2">
        <v>46170</v>
      </c>
      <c r="C333" t="s">
        <v>53</v>
      </c>
      <c r="D333" t="s">
        <v>40</v>
      </c>
      <c r="E333" t="s">
        <v>50</v>
      </c>
      <c r="F333">
        <v>3</v>
      </c>
      <c r="G333">
        <v>95000</v>
      </c>
      <c r="H333">
        <v>285000</v>
      </c>
      <c r="I333" t="s">
        <v>36</v>
      </c>
      <c r="J333" t="s">
        <v>60</v>
      </c>
    </row>
    <row r="334" spans="1:10" x14ac:dyDescent="0.35">
      <c r="A334" t="s">
        <v>460</v>
      </c>
      <c r="B334" s="2">
        <v>46171</v>
      </c>
      <c r="C334" t="s">
        <v>28</v>
      </c>
      <c r="D334" t="s">
        <v>178</v>
      </c>
      <c r="E334" t="s">
        <v>59</v>
      </c>
      <c r="F334">
        <v>5</v>
      </c>
      <c r="G334">
        <v>68000</v>
      </c>
      <c r="H334">
        <v>340000</v>
      </c>
      <c r="I334" t="s">
        <v>51</v>
      </c>
      <c r="J334" t="s">
        <v>122</v>
      </c>
    </row>
    <row r="335" spans="1:10" x14ac:dyDescent="0.35">
      <c r="A335" t="s">
        <v>461</v>
      </c>
      <c r="B335" s="2">
        <v>46172</v>
      </c>
      <c r="C335" t="s">
        <v>170</v>
      </c>
      <c r="D335" t="s">
        <v>115</v>
      </c>
      <c r="E335" t="s">
        <v>41</v>
      </c>
      <c r="F335">
        <v>1</v>
      </c>
      <c r="G335">
        <v>18000</v>
      </c>
      <c r="H335">
        <v>18000</v>
      </c>
      <c r="I335" t="s">
        <v>31</v>
      </c>
      <c r="J335" t="s">
        <v>37</v>
      </c>
    </row>
    <row r="336" spans="1:10" x14ac:dyDescent="0.35">
      <c r="A336" t="s">
        <v>462</v>
      </c>
      <c r="B336" s="2">
        <v>46173</v>
      </c>
      <c r="C336" t="s">
        <v>53</v>
      </c>
      <c r="D336" t="s">
        <v>269</v>
      </c>
      <c r="E336" t="s">
        <v>66</v>
      </c>
      <c r="F336">
        <v>3</v>
      </c>
      <c r="G336">
        <v>45000</v>
      </c>
      <c r="H336">
        <v>135000</v>
      </c>
      <c r="I336" t="s">
        <v>36</v>
      </c>
      <c r="J336" t="s">
        <v>32</v>
      </c>
    </row>
    <row r="337" spans="1:10" x14ac:dyDescent="0.35">
      <c r="A337" t="s">
        <v>463</v>
      </c>
      <c r="B337" s="2">
        <v>46174</v>
      </c>
      <c r="C337" t="s">
        <v>120</v>
      </c>
      <c r="D337" t="s">
        <v>63</v>
      </c>
      <c r="E337" t="s">
        <v>35</v>
      </c>
      <c r="F337">
        <v>3</v>
      </c>
      <c r="G337">
        <v>18000</v>
      </c>
      <c r="H337">
        <v>54000</v>
      </c>
      <c r="I337" t="s">
        <v>36</v>
      </c>
      <c r="J337" t="s">
        <v>84</v>
      </c>
    </row>
    <row r="338" spans="1:10" x14ac:dyDescent="0.35">
      <c r="A338" t="s">
        <v>464</v>
      </c>
      <c r="B338" s="2">
        <v>46175</v>
      </c>
      <c r="C338" t="s">
        <v>48</v>
      </c>
      <c r="D338" t="s">
        <v>69</v>
      </c>
      <c r="E338" t="s">
        <v>95</v>
      </c>
      <c r="F338">
        <v>4</v>
      </c>
      <c r="G338">
        <v>95000</v>
      </c>
      <c r="H338">
        <v>380000</v>
      </c>
      <c r="I338" t="s">
        <v>51</v>
      </c>
      <c r="J338" t="s">
        <v>56</v>
      </c>
    </row>
    <row r="339" spans="1:10" x14ac:dyDescent="0.35">
      <c r="A339" t="s">
        <v>465</v>
      </c>
      <c r="B339" s="2">
        <v>46176</v>
      </c>
      <c r="C339" t="s">
        <v>117</v>
      </c>
      <c r="D339" t="s">
        <v>158</v>
      </c>
      <c r="E339" t="s">
        <v>95</v>
      </c>
      <c r="F339">
        <v>2</v>
      </c>
      <c r="G339">
        <v>68000</v>
      </c>
      <c r="H339">
        <v>136000</v>
      </c>
      <c r="I339" t="s">
        <v>51</v>
      </c>
      <c r="J339" t="s">
        <v>32</v>
      </c>
    </row>
    <row r="340" spans="1:10" x14ac:dyDescent="0.35">
      <c r="A340" t="s">
        <v>466</v>
      </c>
      <c r="B340" s="2">
        <v>46177</v>
      </c>
      <c r="C340" t="s">
        <v>131</v>
      </c>
      <c r="D340" t="s">
        <v>253</v>
      </c>
      <c r="E340" t="s">
        <v>59</v>
      </c>
      <c r="F340">
        <v>3</v>
      </c>
      <c r="G340">
        <v>185000</v>
      </c>
      <c r="H340">
        <v>555000</v>
      </c>
      <c r="I340" t="s">
        <v>36</v>
      </c>
      <c r="J340" t="s">
        <v>60</v>
      </c>
    </row>
    <row r="341" spans="1:10" x14ac:dyDescent="0.35">
      <c r="A341" t="s">
        <v>467</v>
      </c>
      <c r="B341" s="2">
        <v>46178</v>
      </c>
      <c r="C341" t="s">
        <v>131</v>
      </c>
      <c r="D341" t="s">
        <v>172</v>
      </c>
      <c r="E341" t="s">
        <v>50</v>
      </c>
      <c r="F341">
        <v>3</v>
      </c>
      <c r="G341">
        <v>95000</v>
      </c>
      <c r="H341">
        <v>285000</v>
      </c>
      <c r="I341" t="s">
        <v>31</v>
      </c>
      <c r="J341" t="s">
        <v>146</v>
      </c>
    </row>
    <row r="342" spans="1:10" x14ac:dyDescent="0.35">
      <c r="A342" t="s">
        <v>468</v>
      </c>
      <c r="B342" s="2">
        <v>46179</v>
      </c>
      <c r="C342" t="s">
        <v>170</v>
      </c>
      <c r="D342" t="s">
        <v>100</v>
      </c>
      <c r="E342" t="s">
        <v>50</v>
      </c>
      <c r="F342">
        <v>5</v>
      </c>
      <c r="G342">
        <v>540000</v>
      </c>
      <c r="H342">
        <v>2700000</v>
      </c>
      <c r="I342" t="s">
        <v>36</v>
      </c>
      <c r="J342" t="s">
        <v>32</v>
      </c>
    </row>
    <row r="343" spans="1:10" x14ac:dyDescent="0.35">
      <c r="A343" t="s">
        <v>469</v>
      </c>
      <c r="B343" s="2">
        <v>46180</v>
      </c>
      <c r="C343" t="s">
        <v>75</v>
      </c>
      <c r="D343" t="s">
        <v>127</v>
      </c>
      <c r="E343" t="s">
        <v>55</v>
      </c>
      <c r="F343">
        <v>5</v>
      </c>
      <c r="G343">
        <v>68000</v>
      </c>
      <c r="H343">
        <v>340000</v>
      </c>
      <c r="I343" t="s">
        <v>51</v>
      </c>
      <c r="J343" t="s">
        <v>37</v>
      </c>
    </row>
    <row r="344" spans="1:10" x14ac:dyDescent="0.35">
      <c r="A344" t="s">
        <v>470</v>
      </c>
      <c r="B344" s="2">
        <v>46181</v>
      </c>
      <c r="C344" t="s">
        <v>109</v>
      </c>
      <c r="D344" t="s">
        <v>139</v>
      </c>
      <c r="E344" t="s">
        <v>45</v>
      </c>
      <c r="F344">
        <v>1</v>
      </c>
      <c r="G344">
        <v>28000</v>
      </c>
      <c r="H344">
        <v>28000</v>
      </c>
      <c r="I344" t="s">
        <v>31</v>
      </c>
      <c r="J344" t="s">
        <v>60</v>
      </c>
    </row>
    <row r="345" spans="1:10" x14ac:dyDescent="0.35">
      <c r="A345" t="s">
        <v>471</v>
      </c>
      <c r="B345" s="2">
        <v>46182</v>
      </c>
      <c r="C345" t="s">
        <v>138</v>
      </c>
      <c r="D345" t="s">
        <v>206</v>
      </c>
      <c r="E345" t="s">
        <v>66</v>
      </c>
      <c r="F345">
        <v>4</v>
      </c>
      <c r="G345">
        <v>68000</v>
      </c>
      <c r="H345">
        <v>272000</v>
      </c>
      <c r="I345" t="s">
        <v>31</v>
      </c>
      <c r="J345" t="s">
        <v>84</v>
      </c>
    </row>
    <row r="346" spans="1:10" x14ac:dyDescent="0.35">
      <c r="A346" t="s">
        <v>472</v>
      </c>
      <c r="B346" s="2">
        <v>46183</v>
      </c>
      <c r="C346" t="s">
        <v>94</v>
      </c>
      <c r="D346" t="s">
        <v>158</v>
      </c>
      <c r="E346" t="s">
        <v>50</v>
      </c>
      <c r="F346">
        <v>1</v>
      </c>
      <c r="G346">
        <v>28000</v>
      </c>
      <c r="H346">
        <v>28000</v>
      </c>
      <c r="I346" t="s">
        <v>36</v>
      </c>
      <c r="J346" t="s">
        <v>122</v>
      </c>
    </row>
    <row r="347" spans="1:10" x14ac:dyDescent="0.35">
      <c r="A347" t="s">
        <v>473</v>
      </c>
      <c r="B347" s="2">
        <v>46184</v>
      </c>
      <c r="C347" t="s">
        <v>28</v>
      </c>
      <c r="D347" t="s">
        <v>80</v>
      </c>
      <c r="E347" t="s">
        <v>35</v>
      </c>
      <c r="F347">
        <v>5</v>
      </c>
      <c r="G347">
        <v>280000</v>
      </c>
      <c r="H347">
        <v>1400000</v>
      </c>
      <c r="I347" t="s">
        <v>51</v>
      </c>
      <c r="J347" t="s">
        <v>37</v>
      </c>
    </row>
    <row r="348" spans="1:10" x14ac:dyDescent="0.35">
      <c r="A348" t="s">
        <v>474</v>
      </c>
      <c r="B348" s="2">
        <v>46185</v>
      </c>
      <c r="C348" t="s">
        <v>117</v>
      </c>
      <c r="D348" t="s">
        <v>178</v>
      </c>
      <c r="E348" t="s">
        <v>59</v>
      </c>
      <c r="F348">
        <v>2</v>
      </c>
      <c r="G348">
        <v>45000</v>
      </c>
      <c r="H348">
        <v>90000</v>
      </c>
      <c r="I348" t="s">
        <v>36</v>
      </c>
      <c r="J348" t="s">
        <v>60</v>
      </c>
    </row>
    <row r="349" spans="1:10" x14ac:dyDescent="0.35">
      <c r="A349" t="s">
        <v>475</v>
      </c>
      <c r="B349" s="2">
        <v>46186</v>
      </c>
      <c r="C349" t="s">
        <v>145</v>
      </c>
      <c r="D349" t="s">
        <v>121</v>
      </c>
      <c r="E349" t="s">
        <v>41</v>
      </c>
      <c r="F349">
        <v>5</v>
      </c>
      <c r="G349">
        <v>365000</v>
      </c>
      <c r="H349">
        <v>1825000</v>
      </c>
      <c r="I349" t="s">
        <v>36</v>
      </c>
      <c r="J349" t="s">
        <v>37</v>
      </c>
    </row>
    <row r="350" spans="1:10" x14ac:dyDescent="0.35">
      <c r="A350" t="s">
        <v>476</v>
      </c>
      <c r="B350" s="2">
        <v>46187</v>
      </c>
      <c r="C350" t="s">
        <v>68</v>
      </c>
      <c r="D350" t="s">
        <v>246</v>
      </c>
      <c r="E350" t="s">
        <v>55</v>
      </c>
      <c r="F350">
        <v>4</v>
      </c>
      <c r="G350">
        <v>68000</v>
      </c>
      <c r="H350">
        <v>272000</v>
      </c>
      <c r="I350" t="s">
        <v>36</v>
      </c>
      <c r="J350" t="s">
        <v>32</v>
      </c>
    </row>
    <row r="351" spans="1:10" x14ac:dyDescent="0.35">
      <c r="A351" t="s">
        <v>477</v>
      </c>
      <c r="B351" s="2">
        <v>46188</v>
      </c>
      <c r="C351" t="s">
        <v>145</v>
      </c>
      <c r="D351" t="s">
        <v>73</v>
      </c>
      <c r="E351" t="s">
        <v>70</v>
      </c>
      <c r="F351">
        <v>5</v>
      </c>
      <c r="G351">
        <v>120000</v>
      </c>
      <c r="H351">
        <v>600000</v>
      </c>
      <c r="I351" t="s">
        <v>31</v>
      </c>
      <c r="J351" t="s">
        <v>84</v>
      </c>
    </row>
    <row r="352" spans="1:10" x14ac:dyDescent="0.35">
      <c r="A352" t="s">
        <v>478</v>
      </c>
      <c r="B352" s="2">
        <v>46189</v>
      </c>
      <c r="C352" t="s">
        <v>131</v>
      </c>
      <c r="D352" t="s">
        <v>115</v>
      </c>
      <c r="E352" t="s">
        <v>30</v>
      </c>
      <c r="F352">
        <v>4</v>
      </c>
      <c r="G352">
        <v>540000</v>
      </c>
      <c r="H352">
        <v>2160000</v>
      </c>
      <c r="I352" t="s">
        <v>31</v>
      </c>
      <c r="J352" t="s">
        <v>122</v>
      </c>
    </row>
    <row r="353" spans="1:10" x14ac:dyDescent="0.35">
      <c r="A353" t="s">
        <v>479</v>
      </c>
      <c r="B353" s="2">
        <v>46190</v>
      </c>
      <c r="C353" t="s">
        <v>34</v>
      </c>
      <c r="D353" t="s">
        <v>172</v>
      </c>
      <c r="E353" t="s">
        <v>41</v>
      </c>
      <c r="F353">
        <v>4</v>
      </c>
      <c r="G353">
        <v>95000</v>
      </c>
      <c r="H353">
        <v>380000</v>
      </c>
      <c r="I353" t="s">
        <v>51</v>
      </c>
      <c r="J353" t="s">
        <v>60</v>
      </c>
    </row>
    <row r="354" spans="1:10" x14ac:dyDescent="0.35">
      <c r="A354" t="s">
        <v>480</v>
      </c>
      <c r="B354" s="2">
        <v>46191</v>
      </c>
      <c r="C354" t="s">
        <v>117</v>
      </c>
      <c r="D354" t="s">
        <v>125</v>
      </c>
      <c r="E354" t="s">
        <v>70</v>
      </c>
      <c r="F354">
        <v>4</v>
      </c>
      <c r="G354">
        <v>540000</v>
      </c>
      <c r="H354">
        <v>2160000</v>
      </c>
      <c r="I354" t="s">
        <v>51</v>
      </c>
      <c r="J354" t="s">
        <v>46</v>
      </c>
    </row>
    <row r="355" spans="1:10" x14ac:dyDescent="0.35">
      <c r="A355" t="s">
        <v>481</v>
      </c>
      <c r="B355" s="2">
        <v>46192</v>
      </c>
      <c r="C355" t="s">
        <v>133</v>
      </c>
      <c r="D355" t="s">
        <v>54</v>
      </c>
      <c r="E355" t="s">
        <v>95</v>
      </c>
      <c r="F355">
        <v>4</v>
      </c>
      <c r="G355">
        <v>18000</v>
      </c>
      <c r="H355">
        <v>72000</v>
      </c>
      <c r="I355" t="s">
        <v>36</v>
      </c>
      <c r="J355" t="s">
        <v>56</v>
      </c>
    </row>
    <row r="356" spans="1:10" x14ac:dyDescent="0.35">
      <c r="A356" t="s">
        <v>482</v>
      </c>
      <c r="B356" s="2">
        <v>46193</v>
      </c>
      <c r="C356" t="s">
        <v>102</v>
      </c>
      <c r="D356" t="s">
        <v>98</v>
      </c>
      <c r="E356" t="s">
        <v>30</v>
      </c>
      <c r="F356">
        <v>4</v>
      </c>
      <c r="G356">
        <v>365000</v>
      </c>
      <c r="H356">
        <v>1460000</v>
      </c>
      <c r="I356" t="s">
        <v>36</v>
      </c>
      <c r="J356" t="s">
        <v>122</v>
      </c>
    </row>
    <row r="357" spans="1:10" x14ac:dyDescent="0.35">
      <c r="A357" t="s">
        <v>483</v>
      </c>
      <c r="B357" s="2">
        <v>46194</v>
      </c>
      <c r="C357" t="s">
        <v>120</v>
      </c>
      <c r="D357" t="s">
        <v>92</v>
      </c>
      <c r="E357" t="s">
        <v>66</v>
      </c>
      <c r="F357">
        <v>2</v>
      </c>
      <c r="G357">
        <v>18000</v>
      </c>
      <c r="H357">
        <v>36000</v>
      </c>
      <c r="I357" t="s">
        <v>36</v>
      </c>
      <c r="J357" t="s">
        <v>46</v>
      </c>
    </row>
    <row r="358" spans="1:10" x14ac:dyDescent="0.35">
      <c r="A358" t="s">
        <v>484</v>
      </c>
      <c r="B358" s="2">
        <v>46195</v>
      </c>
      <c r="C358" t="s">
        <v>145</v>
      </c>
      <c r="D358" t="s">
        <v>40</v>
      </c>
      <c r="E358" t="s">
        <v>35</v>
      </c>
      <c r="F358">
        <v>1</v>
      </c>
      <c r="G358">
        <v>280000</v>
      </c>
      <c r="H358">
        <v>280000</v>
      </c>
      <c r="I358" t="s">
        <v>51</v>
      </c>
      <c r="J358" t="s">
        <v>37</v>
      </c>
    </row>
    <row r="359" spans="1:10" x14ac:dyDescent="0.35">
      <c r="A359" t="s">
        <v>485</v>
      </c>
      <c r="B359" s="2">
        <v>46196</v>
      </c>
      <c r="C359" t="s">
        <v>109</v>
      </c>
      <c r="D359" t="s">
        <v>188</v>
      </c>
      <c r="E359" t="s">
        <v>30</v>
      </c>
      <c r="F359">
        <v>3</v>
      </c>
      <c r="G359">
        <v>365000</v>
      </c>
      <c r="H359">
        <v>1095000</v>
      </c>
      <c r="I359" t="s">
        <v>31</v>
      </c>
      <c r="J359" t="s">
        <v>146</v>
      </c>
    </row>
    <row r="360" spans="1:10" x14ac:dyDescent="0.35">
      <c r="A360" t="s">
        <v>486</v>
      </c>
      <c r="B360" s="2">
        <v>46197</v>
      </c>
      <c r="C360" t="s">
        <v>106</v>
      </c>
      <c r="D360" t="s">
        <v>40</v>
      </c>
      <c r="E360" t="s">
        <v>45</v>
      </c>
      <c r="F360">
        <v>1</v>
      </c>
      <c r="G360">
        <v>365000</v>
      </c>
      <c r="H360">
        <v>365000</v>
      </c>
      <c r="I360" t="s">
        <v>31</v>
      </c>
      <c r="J360" t="s">
        <v>122</v>
      </c>
    </row>
    <row r="361" spans="1:10" x14ac:dyDescent="0.35">
      <c r="A361" t="s">
        <v>487</v>
      </c>
      <c r="B361" s="2">
        <v>46198</v>
      </c>
      <c r="C361" t="s">
        <v>161</v>
      </c>
      <c r="D361" t="s">
        <v>335</v>
      </c>
      <c r="E361" t="s">
        <v>70</v>
      </c>
      <c r="F361">
        <v>4</v>
      </c>
      <c r="G361">
        <v>18000</v>
      </c>
      <c r="H361">
        <v>72000</v>
      </c>
      <c r="I361" t="s">
        <v>36</v>
      </c>
      <c r="J361" t="s">
        <v>37</v>
      </c>
    </row>
    <row r="362" spans="1:10" x14ac:dyDescent="0.35">
      <c r="A362" t="s">
        <v>488</v>
      </c>
      <c r="B362" s="2">
        <v>46199</v>
      </c>
      <c r="C362" t="s">
        <v>161</v>
      </c>
      <c r="D362" t="s">
        <v>143</v>
      </c>
      <c r="E362" t="s">
        <v>66</v>
      </c>
      <c r="F362">
        <v>2</v>
      </c>
      <c r="G362">
        <v>28000</v>
      </c>
      <c r="H362">
        <v>56000</v>
      </c>
      <c r="I362" t="s">
        <v>36</v>
      </c>
      <c r="J362" t="s">
        <v>46</v>
      </c>
    </row>
    <row r="363" spans="1:10" x14ac:dyDescent="0.35">
      <c r="A363" t="s">
        <v>489</v>
      </c>
      <c r="B363" s="2">
        <v>46200</v>
      </c>
      <c r="C363" t="s">
        <v>135</v>
      </c>
      <c r="D363" t="s">
        <v>107</v>
      </c>
      <c r="E363" t="s">
        <v>45</v>
      </c>
      <c r="F363">
        <v>5</v>
      </c>
      <c r="G363">
        <v>18000</v>
      </c>
      <c r="H363">
        <v>90000</v>
      </c>
      <c r="I363" t="s">
        <v>36</v>
      </c>
      <c r="J363" t="s">
        <v>32</v>
      </c>
    </row>
    <row r="364" spans="1:10" x14ac:dyDescent="0.35">
      <c r="A364" t="s">
        <v>490</v>
      </c>
      <c r="B364" s="2">
        <v>46201</v>
      </c>
      <c r="C364" t="s">
        <v>75</v>
      </c>
      <c r="D364" t="s">
        <v>103</v>
      </c>
      <c r="E364" t="s">
        <v>95</v>
      </c>
      <c r="F364">
        <v>2</v>
      </c>
      <c r="G364">
        <v>540000</v>
      </c>
      <c r="H364">
        <v>1080000</v>
      </c>
      <c r="I364" t="s">
        <v>36</v>
      </c>
      <c r="J364" t="s">
        <v>32</v>
      </c>
    </row>
    <row r="365" spans="1:10" x14ac:dyDescent="0.35">
      <c r="A365" t="s">
        <v>491</v>
      </c>
      <c r="B365" s="2">
        <v>46202</v>
      </c>
      <c r="C365" t="s">
        <v>167</v>
      </c>
      <c r="D365" t="s">
        <v>103</v>
      </c>
      <c r="E365" t="s">
        <v>45</v>
      </c>
      <c r="F365">
        <v>4</v>
      </c>
      <c r="G365">
        <v>28000</v>
      </c>
      <c r="H365">
        <v>112000</v>
      </c>
      <c r="I365" t="s">
        <v>51</v>
      </c>
      <c r="J365" t="s">
        <v>146</v>
      </c>
    </row>
    <row r="366" spans="1:10" x14ac:dyDescent="0.35">
      <c r="A366" t="s">
        <v>492</v>
      </c>
      <c r="B366" s="2">
        <v>46203</v>
      </c>
      <c r="C366" t="s">
        <v>167</v>
      </c>
      <c r="D366" t="s">
        <v>183</v>
      </c>
      <c r="E366" t="s">
        <v>55</v>
      </c>
      <c r="F366">
        <v>2</v>
      </c>
      <c r="G366">
        <v>540000</v>
      </c>
      <c r="H366">
        <v>1080000</v>
      </c>
      <c r="I366" t="s">
        <v>31</v>
      </c>
      <c r="J366" t="s">
        <v>56</v>
      </c>
    </row>
    <row r="367" spans="1:10" x14ac:dyDescent="0.35">
      <c r="A367" t="s">
        <v>493</v>
      </c>
      <c r="B367" s="2">
        <v>46204</v>
      </c>
      <c r="C367" t="s">
        <v>94</v>
      </c>
      <c r="D367" t="s">
        <v>183</v>
      </c>
      <c r="E367" t="s">
        <v>55</v>
      </c>
      <c r="F367">
        <v>2</v>
      </c>
      <c r="G367">
        <v>280000</v>
      </c>
      <c r="H367">
        <v>560000</v>
      </c>
      <c r="I367" t="s">
        <v>36</v>
      </c>
      <c r="J367" t="s">
        <v>122</v>
      </c>
    </row>
    <row r="368" spans="1:10" x14ac:dyDescent="0.35">
      <c r="A368" t="s">
        <v>494</v>
      </c>
      <c r="B368" s="2">
        <v>46205</v>
      </c>
      <c r="C368" t="s">
        <v>72</v>
      </c>
      <c r="D368" t="s">
        <v>90</v>
      </c>
      <c r="E368" t="s">
        <v>59</v>
      </c>
      <c r="F368">
        <v>4</v>
      </c>
      <c r="G368">
        <v>95000</v>
      </c>
      <c r="H368">
        <v>380000</v>
      </c>
      <c r="I368" t="s">
        <v>51</v>
      </c>
      <c r="J368" t="s">
        <v>122</v>
      </c>
    </row>
    <row r="369" spans="1:10" x14ac:dyDescent="0.35">
      <c r="A369" t="s">
        <v>495</v>
      </c>
      <c r="B369" s="2">
        <v>46206</v>
      </c>
      <c r="C369" t="s">
        <v>145</v>
      </c>
      <c r="D369" t="s">
        <v>92</v>
      </c>
      <c r="E369" t="s">
        <v>41</v>
      </c>
      <c r="F369">
        <v>2</v>
      </c>
      <c r="G369">
        <v>185000</v>
      </c>
      <c r="H369">
        <v>370000</v>
      </c>
      <c r="I369" t="s">
        <v>36</v>
      </c>
      <c r="J369" t="s">
        <v>122</v>
      </c>
    </row>
    <row r="370" spans="1:10" x14ac:dyDescent="0.35">
      <c r="A370" t="s">
        <v>496</v>
      </c>
      <c r="B370" s="2">
        <v>46207</v>
      </c>
      <c r="C370" t="s">
        <v>145</v>
      </c>
      <c r="D370" t="s">
        <v>172</v>
      </c>
      <c r="E370" t="s">
        <v>41</v>
      </c>
      <c r="F370">
        <v>3</v>
      </c>
      <c r="G370">
        <v>28000</v>
      </c>
      <c r="H370">
        <v>84000</v>
      </c>
      <c r="I370" t="s">
        <v>36</v>
      </c>
      <c r="J370" t="s">
        <v>56</v>
      </c>
    </row>
    <row r="371" spans="1:10" x14ac:dyDescent="0.35">
      <c r="A371" t="s">
        <v>497</v>
      </c>
      <c r="B371" s="2">
        <v>46208</v>
      </c>
      <c r="C371" t="s">
        <v>94</v>
      </c>
      <c r="D371" t="s">
        <v>153</v>
      </c>
      <c r="E371" t="s">
        <v>66</v>
      </c>
      <c r="F371">
        <v>3</v>
      </c>
      <c r="G371">
        <v>280000</v>
      </c>
      <c r="H371">
        <v>840000</v>
      </c>
      <c r="I371" t="s">
        <v>31</v>
      </c>
      <c r="J371" t="s">
        <v>37</v>
      </c>
    </row>
    <row r="372" spans="1:10" x14ac:dyDescent="0.35">
      <c r="A372" t="s">
        <v>498</v>
      </c>
      <c r="B372" s="2">
        <v>46209</v>
      </c>
      <c r="C372" t="s">
        <v>34</v>
      </c>
      <c r="D372" t="s">
        <v>110</v>
      </c>
      <c r="E372" t="s">
        <v>95</v>
      </c>
      <c r="F372">
        <v>2</v>
      </c>
      <c r="G372">
        <v>120000</v>
      </c>
      <c r="H372">
        <v>240000</v>
      </c>
      <c r="I372" t="s">
        <v>36</v>
      </c>
      <c r="J372" t="s">
        <v>84</v>
      </c>
    </row>
    <row r="373" spans="1:10" x14ac:dyDescent="0.35">
      <c r="A373" t="s">
        <v>499</v>
      </c>
      <c r="B373" s="2">
        <v>46210</v>
      </c>
      <c r="C373" t="s">
        <v>82</v>
      </c>
      <c r="D373" t="s">
        <v>162</v>
      </c>
      <c r="E373" t="s">
        <v>50</v>
      </c>
      <c r="F373">
        <v>5</v>
      </c>
      <c r="G373">
        <v>280000</v>
      </c>
      <c r="H373">
        <v>1400000</v>
      </c>
      <c r="I373" t="s">
        <v>31</v>
      </c>
      <c r="J373" t="s">
        <v>84</v>
      </c>
    </row>
    <row r="374" spans="1:10" x14ac:dyDescent="0.35">
      <c r="A374" t="s">
        <v>500</v>
      </c>
      <c r="B374" s="2">
        <v>46211</v>
      </c>
      <c r="C374" t="s">
        <v>97</v>
      </c>
      <c r="D374" t="s">
        <v>115</v>
      </c>
      <c r="E374" t="s">
        <v>55</v>
      </c>
      <c r="F374">
        <v>4</v>
      </c>
      <c r="G374">
        <v>18000</v>
      </c>
      <c r="H374">
        <v>72000</v>
      </c>
      <c r="I374" t="s">
        <v>31</v>
      </c>
      <c r="J374" t="s">
        <v>146</v>
      </c>
    </row>
    <row r="375" spans="1:10" x14ac:dyDescent="0.35">
      <c r="A375" t="s">
        <v>501</v>
      </c>
      <c r="B375" s="2">
        <v>46212</v>
      </c>
      <c r="C375" t="s">
        <v>82</v>
      </c>
      <c r="D375" t="s">
        <v>58</v>
      </c>
      <c r="E375" t="s">
        <v>66</v>
      </c>
      <c r="F375">
        <v>3</v>
      </c>
      <c r="G375">
        <v>18000</v>
      </c>
      <c r="H375">
        <v>54000</v>
      </c>
      <c r="I375" t="s">
        <v>31</v>
      </c>
      <c r="J375" t="s">
        <v>122</v>
      </c>
    </row>
    <row r="376" spans="1:10" x14ac:dyDescent="0.35">
      <c r="A376" t="s">
        <v>502</v>
      </c>
      <c r="B376" s="2">
        <v>46213</v>
      </c>
      <c r="C376" t="s">
        <v>120</v>
      </c>
      <c r="D376" t="s">
        <v>80</v>
      </c>
      <c r="E376" t="s">
        <v>50</v>
      </c>
      <c r="F376">
        <v>5</v>
      </c>
      <c r="G376">
        <v>185000</v>
      </c>
      <c r="H376">
        <v>925000</v>
      </c>
      <c r="I376" t="s">
        <v>51</v>
      </c>
      <c r="J376" t="s">
        <v>37</v>
      </c>
    </row>
    <row r="377" spans="1:10" x14ac:dyDescent="0.35">
      <c r="A377" t="s">
        <v>503</v>
      </c>
      <c r="B377" s="2">
        <v>46214</v>
      </c>
      <c r="C377" t="s">
        <v>82</v>
      </c>
      <c r="D377" t="s">
        <v>49</v>
      </c>
      <c r="E377" t="s">
        <v>41</v>
      </c>
      <c r="F377">
        <v>2</v>
      </c>
      <c r="G377">
        <v>280000</v>
      </c>
      <c r="H377">
        <v>560000</v>
      </c>
      <c r="I377" t="s">
        <v>51</v>
      </c>
      <c r="J377" t="s">
        <v>32</v>
      </c>
    </row>
    <row r="378" spans="1:10" x14ac:dyDescent="0.35">
      <c r="A378" t="s">
        <v>504</v>
      </c>
      <c r="B378" s="2">
        <v>46215</v>
      </c>
      <c r="C378" t="s">
        <v>34</v>
      </c>
      <c r="D378" t="s">
        <v>115</v>
      </c>
      <c r="E378" t="s">
        <v>59</v>
      </c>
      <c r="F378">
        <v>5</v>
      </c>
      <c r="G378">
        <v>45000</v>
      </c>
      <c r="H378">
        <v>225000</v>
      </c>
      <c r="I378" t="s">
        <v>31</v>
      </c>
      <c r="J378" t="s">
        <v>46</v>
      </c>
    </row>
    <row r="379" spans="1:10" x14ac:dyDescent="0.35">
      <c r="A379" t="s">
        <v>505</v>
      </c>
      <c r="B379" s="2">
        <v>46216</v>
      </c>
      <c r="C379" t="s">
        <v>48</v>
      </c>
      <c r="D379" t="s">
        <v>158</v>
      </c>
      <c r="E379" t="s">
        <v>45</v>
      </c>
      <c r="F379">
        <v>1</v>
      </c>
      <c r="G379">
        <v>95000</v>
      </c>
      <c r="H379">
        <v>95000</v>
      </c>
      <c r="I379" t="s">
        <v>36</v>
      </c>
      <c r="J379" t="s">
        <v>37</v>
      </c>
    </row>
    <row r="380" spans="1:10" x14ac:dyDescent="0.35">
      <c r="A380" t="s">
        <v>506</v>
      </c>
      <c r="B380" s="2">
        <v>46217</v>
      </c>
      <c r="C380" t="s">
        <v>133</v>
      </c>
      <c r="D380" t="s">
        <v>76</v>
      </c>
      <c r="E380" t="s">
        <v>55</v>
      </c>
      <c r="F380">
        <v>3</v>
      </c>
      <c r="G380">
        <v>18000</v>
      </c>
      <c r="H380">
        <v>54000</v>
      </c>
      <c r="I380" t="s">
        <v>31</v>
      </c>
      <c r="J380" t="s">
        <v>56</v>
      </c>
    </row>
    <row r="381" spans="1:10" x14ac:dyDescent="0.35">
      <c r="A381" t="s">
        <v>507</v>
      </c>
      <c r="B381" s="2">
        <v>46218</v>
      </c>
      <c r="C381" t="s">
        <v>53</v>
      </c>
      <c r="D381" t="s">
        <v>63</v>
      </c>
      <c r="E381" t="s">
        <v>66</v>
      </c>
      <c r="F381">
        <v>2</v>
      </c>
      <c r="G381">
        <v>185000</v>
      </c>
      <c r="H381">
        <v>370000</v>
      </c>
      <c r="I381" t="s">
        <v>36</v>
      </c>
      <c r="J381" t="s">
        <v>84</v>
      </c>
    </row>
    <row r="382" spans="1:10" x14ac:dyDescent="0.35">
      <c r="A382" t="s">
        <v>508</v>
      </c>
      <c r="B382" s="2">
        <v>46219</v>
      </c>
      <c r="C382" t="s">
        <v>88</v>
      </c>
      <c r="D382" t="s">
        <v>121</v>
      </c>
      <c r="E382" t="s">
        <v>30</v>
      </c>
      <c r="F382">
        <v>4</v>
      </c>
      <c r="G382">
        <v>95000</v>
      </c>
      <c r="H382">
        <v>380000</v>
      </c>
      <c r="I382" t="s">
        <v>31</v>
      </c>
      <c r="J382" t="s">
        <v>84</v>
      </c>
    </row>
    <row r="383" spans="1:10" x14ac:dyDescent="0.35">
      <c r="A383" t="s">
        <v>509</v>
      </c>
      <c r="B383" s="2">
        <v>46220</v>
      </c>
      <c r="C383" t="s">
        <v>112</v>
      </c>
      <c r="D383" t="s">
        <v>98</v>
      </c>
      <c r="E383" t="s">
        <v>50</v>
      </c>
      <c r="F383">
        <v>2</v>
      </c>
      <c r="G383">
        <v>280000</v>
      </c>
      <c r="H383">
        <v>560000</v>
      </c>
      <c r="I383" t="s">
        <v>36</v>
      </c>
      <c r="J383" t="s">
        <v>32</v>
      </c>
    </row>
    <row r="384" spans="1:10" x14ac:dyDescent="0.35">
      <c r="A384" t="s">
        <v>510</v>
      </c>
      <c r="B384" s="2">
        <v>46221</v>
      </c>
      <c r="C384" t="s">
        <v>53</v>
      </c>
      <c r="D384" t="s">
        <v>188</v>
      </c>
      <c r="E384" t="s">
        <v>45</v>
      </c>
      <c r="F384">
        <v>4</v>
      </c>
      <c r="G384">
        <v>280000</v>
      </c>
      <c r="H384">
        <v>1120000</v>
      </c>
      <c r="I384" t="s">
        <v>51</v>
      </c>
      <c r="J384" t="s">
        <v>32</v>
      </c>
    </row>
    <row r="385" spans="1:10" x14ac:dyDescent="0.35">
      <c r="A385" t="s">
        <v>511</v>
      </c>
      <c r="B385" s="2">
        <v>46222</v>
      </c>
      <c r="C385" t="s">
        <v>34</v>
      </c>
      <c r="D385" t="s">
        <v>239</v>
      </c>
      <c r="E385" t="s">
        <v>55</v>
      </c>
      <c r="F385">
        <v>2</v>
      </c>
      <c r="G385">
        <v>365000</v>
      </c>
      <c r="H385">
        <v>730000</v>
      </c>
      <c r="I385" t="s">
        <v>36</v>
      </c>
      <c r="J385" t="s">
        <v>56</v>
      </c>
    </row>
    <row r="386" spans="1:10" x14ac:dyDescent="0.35">
      <c r="A386" t="s">
        <v>512</v>
      </c>
      <c r="B386" s="2">
        <v>46223</v>
      </c>
      <c r="C386" t="s">
        <v>109</v>
      </c>
      <c r="D386" t="s">
        <v>44</v>
      </c>
      <c r="E386" t="s">
        <v>41</v>
      </c>
      <c r="F386">
        <v>5</v>
      </c>
      <c r="G386">
        <v>185000</v>
      </c>
      <c r="H386">
        <v>925000</v>
      </c>
      <c r="I386" t="s">
        <v>31</v>
      </c>
      <c r="J386" t="s">
        <v>46</v>
      </c>
    </row>
    <row r="387" spans="1:10" x14ac:dyDescent="0.35">
      <c r="A387" t="s">
        <v>513</v>
      </c>
      <c r="B387" s="2">
        <v>46224</v>
      </c>
      <c r="C387" t="s">
        <v>94</v>
      </c>
      <c r="D387" t="s">
        <v>100</v>
      </c>
      <c r="E387" t="s">
        <v>95</v>
      </c>
      <c r="F387">
        <v>5</v>
      </c>
      <c r="G387">
        <v>18000</v>
      </c>
      <c r="H387">
        <v>90000</v>
      </c>
      <c r="I387" t="s">
        <v>51</v>
      </c>
      <c r="J387" t="s">
        <v>32</v>
      </c>
    </row>
    <row r="388" spans="1:10" x14ac:dyDescent="0.35">
      <c r="A388" t="s">
        <v>514</v>
      </c>
      <c r="B388" s="2">
        <v>46225</v>
      </c>
      <c r="C388" t="s">
        <v>145</v>
      </c>
      <c r="D388" t="s">
        <v>121</v>
      </c>
      <c r="E388" t="s">
        <v>50</v>
      </c>
      <c r="F388">
        <v>5</v>
      </c>
      <c r="G388">
        <v>45000</v>
      </c>
      <c r="H388">
        <v>225000</v>
      </c>
      <c r="I388" t="s">
        <v>36</v>
      </c>
      <c r="J388" t="s">
        <v>146</v>
      </c>
    </row>
    <row r="389" spans="1:10" x14ac:dyDescent="0.35">
      <c r="A389" t="s">
        <v>515</v>
      </c>
      <c r="B389" s="2">
        <v>46226</v>
      </c>
      <c r="C389" t="s">
        <v>109</v>
      </c>
      <c r="D389" t="s">
        <v>143</v>
      </c>
      <c r="E389" t="s">
        <v>41</v>
      </c>
      <c r="F389">
        <v>1</v>
      </c>
      <c r="G389">
        <v>280000</v>
      </c>
      <c r="H389">
        <v>280000</v>
      </c>
      <c r="I389" t="s">
        <v>36</v>
      </c>
      <c r="J389" t="s">
        <v>46</v>
      </c>
    </row>
    <row r="390" spans="1:10" x14ac:dyDescent="0.35">
      <c r="A390" t="s">
        <v>516</v>
      </c>
      <c r="B390" s="2">
        <v>46227</v>
      </c>
      <c r="C390" t="s">
        <v>131</v>
      </c>
      <c r="D390" t="s">
        <v>83</v>
      </c>
      <c r="E390" t="s">
        <v>55</v>
      </c>
      <c r="F390">
        <v>4</v>
      </c>
      <c r="G390">
        <v>45000</v>
      </c>
      <c r="H390">
        <v>180000</v>
      </c>
      <c r="I390" t="s">
        <v>36</v>
      </c>
      <c r="J390" t="s">
        <v>32</v>
      </c>
    </row>
    <row r="391" spans="1:10" x14ac:dyDescent="0.35">
      <c r="A391" t="s">
        <v>517</v>
      </c>
      <c r="B391" s="2">
        <v>46228</v>
      </c>
      <c r="C391" t="s">
        <v>94</v>
      </c>
      <c r="D391" t="s">
        <v>113</v>
      </c>
      <c r="E391" t="s">
        <v>50</v>
      </c>
      <c r="F391">
        <v>5</v>
      </c>
      <c r="G391">
        <v>280000</v>
      </c>
      <c r="H391">
        <v>1400000</v>
      </c>
      <c r="I391" t="s">
        <v>36</v>
      </c>
      <c r="J391" t="s">
        <v>60</v>
      </c>
    </row>
    <row r="392" spans="1:10" x14ac:dyDescent="0.35">
      <c r="A392" t="s">
        <v>518</v>
      </c>
      <c r="B392" s="2">
        <v>46229</v>
      </c>
      <c r="C392" t="s">
        <v>131</v>
      </c>
      <c r="D392" t="s">
        <v>115</v>
      </c>
      <c r="E392" t="s">
        <v>45</v>
      </c>
      <c r="F392">
        <v>1</v>
      </c>
      <c r="G392">
        <v>18000</v>
      </c>
      <c r="H392">
        <v>18000</v>
      </c>
      <c r="I392" t="s">
        <v>36</v>
      </c>
      <c r="J392" t="s">
        <v>37</v>
      </c>
    </row>
    <row r="393" spans="1:10" x14ac:dyDescent="0.35">
      <c r="A393" t="s">
        <v>519</v>
      </c>
      <c r="B393" s="2">
        <v>46230</v>
      </c>
      <c r="C393" t="s">
        <v>39</v>
      </c>
      <c r="D393" t="s">
        <v>29</v>
      </c>
      <c r="E393" t="s">
        <v>55</v>
      </c>
      <c r="F393">
        <v>4</v>
      </c>
      <c r="G393">
        <v>95000</v>
      </c>
      <c r="H393">
        <v>380000</v>
      </c>
      <c r="I393" t="s">
        <v>51</v>
      </c>
      <c r="J393" t="s">
        <v>32</v>
      </c>
    </row>
    <row r="394" spans="1:10" x14ac:dyDescent="0.35">
      <c r="A394" t="s">
        <v>520</v>
      </c>
      <c r="B394" s="2">
        <v>46231</v>
      </c>
      <c r="C394" t="s">
        <v>170</v>
      </c>
      <c r="D394" t="s">
        <v>40</v>
      </c>
      <c r="E394" t="s">
        <v>70</v>
      </c>
      <c r="F394">
        <v>2</v>
      </c>
      <c r="G394">
        <v>68000</v>
      </c>
      <c r="H394">
        <v>136000</v>
      </c>
      <c r="I394" t="s">
        <v>51</v>
      </c>
      <c r="J394" t="s">
        <v>146</v>
      </c>
    </row>
    <row r="395" spans="1:10" x14ac:dyDescent="0.35">
      <c r="A395" t="s">
        <v>521</v>
      </c>
      <c r="B395" s="2">
        <v>46232</v>
      </c>
      <c r="C395" t="s">
        <v>177</v>
      </c>
      <c r="D395" t="s">
        <v>65</v>
      </c>
      <c r="E395" t="s">
        <v>66</v>
      </c>
      <c r="F395">
        <v>1</v>
      </c>
      <c r="G395">
        <v>95000</v>
      </c>
      <c r="H395">
        <v>95000</v>
      </c>
      <c r="I395" t="s">
        <v>51</v>
      </c>
      <c r="J395" t="s">
        <v>122</v>
      </c>
    </row>
    <row r="396" spans="1:10" x14ac:dyDescent="0.35">
      <c r="A396" t="s">
        <v>522</v>
      </c>
      <c r="B396" s="2">
        <v>46233</v>
      </c>
      <c r="C396" t="s">
        <v>170</v>
      </c>
      <c r="D396" t="s">
        <v>65</v>
      </c>
      <c r="E396" t="s">
        <v>45</v>
      </c>
      <c r="F396">
        <v>3</v>
      </c>
      <c r="G396">
        <v>280000</v>
      </c>
      <c r="H396">
        <v>840000</v>
      </c>
      <c r="I396" t="s">
        <v>51</v>
      </c>
      <c r="J396" t="s">
        <v>32</v>
      </c>
    </row>
    <row r="397" spans="1:10" x14ac:dyDescent="0.35">
      <c r="A397" t="s">
        <v>523</v>
      </c>
      <c r="B397" s="2">
        <v>46234</v>
      </c>
      <c r="C397" t="s">
        <v>102</v>
      </c>
      <c r="D397" t="s">
        <v>92</v>
      </c>
      <c r="E397" t="s">
        <v>50</v>
      </c>
      <c r="F397">
        <v>1</v>
      </c>
      <c r="G397">
        <v>540000</v>
      </c>
      <c r="H397">
        <v>540000</v>
      </c>
      <c r="I397" t="s">
        <v>31</v>
      </c>
      <c r="J397" t="s">
        <v>84</v>
      </c>
    </row>
    <row r="398" spans="1:10" x14ac:dyDescent="0.35">
      <c r="A398" t="s">
        <v>524</v>
      </c>
      <c r="B398" s="2">
        <v>46235</v>
      </c>
      <c r="C398" t="s">
        <v>97</v>
      </c>
      <c r="D398" t="s">
        <v>125</v>
      </c>
      <c r="E398" t="s">
        <v>95</v>
      </c>
      <c r="F398">
        <v>1</v>
      </c>
      <c r="G398">
        <v>68000</v>
      </c>
      <c r="H398">
        <v>68000</v>
      </c>
      <c r="I398" t="s">
        <v>51</v>
      </c>
      <c r="J398" t="s">
        <v>84</v>
      </c>
    </row>
    <row r="399" spans="1:10" x14ac:dyDescent="0.35">
      <c r="A399" t="s">
        <v>525</v>
      </c>
      <c r="B399" s="2">
        <v>46236</v>
      </c>
      <c r="C399" t="s">
        <v>94</v>
      </c>
      <c r="D399" t="s">
        <v>69</v>
      </c>
      <c r="E399" t="s">
        <v>41</v>
      </c>
      <c r="F399">
        <v>4</v>
      </c>
      <c r="G399">
        <v>68000</v>
      </c>
      <c r="H399">
        <v>272000</v>
      </c>
      <c r="I399" t="s">
        <v>36</v>
      </c>
      <c r="J399" t="s">
        <v>84</v>
      </c>
    </row>
    <row r="400" spans="1:10" x14ac:dyDescent="0.35">
      <c r="A400" t="s">
        <v>526</v>
      </c>
      <c r="B400" s="2">
        <v>46237</v>
      </c>
      <c r="C400" t="s">
        <v>145</v>
      </c>
      <c r="D400" t="s">
        <v>107</v>
      </c>
      <c r="E400" t="s">
        <v>30</v>
      </c>
      <c r="F400">
        <v>2</v>
      </c>
      <c r="G400">
        <v>45000</v>
      </c>
      <c r="H400">
        <v>90000</v>
      </c>
      <c r="I400" t="s">
        <v>36</v>
      </c>
      <c r="J400" t="s">
        <v>122</v>
      </c>
    </row>
    <row r="401" spans="1:10" x14ac:dyDescent="0.35">
      <c r="A401" t="s">
        <v>527</v>
      </c>
      <c r="B401" s="2">
        <v>46238</v>
      </c>
      <c r="C401" t="s">
        <v>39</v>
      </c>
      <c r="D401" t="s">
        <v>410</v>
      </c>
      <c r="E401" t="s">
        <v>41</v>
      </c>
      <c r="F401">
        <v>3</v>
      </c>
      <c r="G401">
        <v>185000</v>
      </c>
      <c r="H401">
        <v>555000</v>
      </c>
      <c r="I401" t="s">
        <v>51</v>
      </c>
      <c r="J401" t="s">
        <v>84</v>
      </c>
    </row>
    <row r="402" spans="1:10" x14ac:dyDescent="0.35">
      <c r="A402" t="s">
        <v>528</v>
      </c>
      <c r="B402" s="2">
        <v>46239</v>
      </c>
      <c r="C402" t="s">
        <v>167</v>
      </c>
      <c r="D402" t="s">
        <v>103</v>
      </c>
      <c r="E402" t="s">
        <v>50</v>
      </c>
      <c r="F402">
        <v>5</v>
      </c>
      <c r="G402">
        <v>45000</v>
      </c>
      <c r="H402">
        <v>225000</v>
      </c>
      <c r="I402" t="s">
        <v>36</v>
      </c>
      <c r="J402" t="s">
        <v>60</v>
      </c>
    </row>
    <row r="403" spans="1:10" x14ac:dyDescent="0.35">
      <c r="A403" t="s">
        <v>529</v>
      </c>
      <c r="B403" s="2">
        <v>46240</v>
      </c>
      <c r="C403" t="s">
        <v>88</v>
      </c>
      <c r="D403" t="s">
        <v>172</v>
      </c>
      <c r="E403" t="s">
        <v>41</v>
      </c>
      <c r="F403">
        <v>5</v>
      </c>
      <c r="G403">
        <v>45000</v>
      </c>
      <c r="H403">
        <v>225000</v>
      </c>
      <c r="I403" t="s">
        <v>51</v>
      </c>
      <c r="J403" t="s">
        <v>32</v>
      </c>
    </row>
    <row r="404" spans="1:10" x14ac:dyDescent="0.35">
      <c r="A404" t="s">
        <v>530</v>
      </c>
      <c r="B404" s="2">
        <v>46241</v>
      </c>
      <c r="C404" t="s">
        <v>120</v>
      </c>
      <c r="D404" t="s">
        <v>153</v>
      </c>
      <c r="E404" t="s">
        <v>66</v>
      </c>
      <c r="F404">
        <v>1</v>
      </c>
      <c r="G404">
        <v>540000</v>
      </c>
      <c r="H404">
        <v>540000</v>
      </c>
      <c r="I404" t="s">
        <v>36</v>
      </c>
      <c r="J404" t="s">
        <v>56</v>
      </c>
    </row>
    <row r="405" spans="1:10" x14ac:dyDescent="0.35">
      <c r="A405" t="s">
        <v>531</v>
      </c>
      <c r="B405" s="2">
        <v>46242</v>
      </c>
      <c r="C405" t="s">
        <v>88</v>
      </c>
      <c r="D405" t="s">
        <v>201</v>
      </c>
      <c r="E405" t="s">
        <v>55</v>
      </c>
      <c r="F405">
        <v>4</v>
      </c>
      <c r="G405">
        <v>95000</v>
      </c>
      <c r="H405">
        <v>380000</v>
      </c>
      <c r="I405" t="s">
        <v>31</v>
      </c>
      <c r="J405" t="s">
        <v>84</v>
      </c>
    </row>
    <row r="406" spans="1:10" x14ac:dyDescent="0.35">
      <c r="A406" t="s">
        <v>532</v>
      </c>
      <c r="B406" s="2">
        <v>46243</v>
      </c>
      <c r="C406" t="s">
        <v>120</v>
      </c>
      <c r="D406" t="s">
        <v>253</v>
      </c>
      <c r="E406" t="s">
        <v>30</v>
      </c>
      <c r="F406">
        <v>4</v>
      </c>
      <c r="G406">
        <v>95000</v>
      </c>
      <c r="H406">
        <v>380000</v>
      </c>
      <c r="I406" t="s">
        <v>31</v>
      </c>
      <c r="J406" t="s">
        <v>46</v>
      </c>
    </row>
    <row r="407" spans="1:10" x14ac:dyDescent="0.35">
      <c r="A407" t="s">
        <v>533</v>
      </c>
      <c r="B407" s="2">
        <v>46244</v>
      </c>
      <c r="C407" t="s">
        <v>177</v>
      </c>
      <c r="D407" t="s">
        <v>44</v>
      </c>
      <c r="E407" t="s">
        <v>35</v>
      </c>
      <c r="F407">
        <v>5</v>
      </c>
      <c r="G407">
        <v>120000</v>
      </c>
      <c r="H407">
        <v>600000</v>
      </c>
      <c r="I407" t="s">
        <v>51</v>
      </c>
      <c r="J407" t="s">
        <v>56</v>
      </c>
    </row>
    <row r="408" spans="1:10" x14ac:dyDescent="0.35">
      <c r="A408" t="s">
        <v>534</v>
      </c>
      <c r="B408" s="2">
        <v>46245</v>
      </c>
      <c r="C408" t="s">
        <v>62</v>
      </c>
      <c r="D408" t="s">
        <v>335</v>
      </c>
      <c r="E408" t="s">
        <v>50</v>
      </c>
      <c r="F408">
        <v>3</v>
      </c>
      <c r="G408">
        <v>280000</v>
      </c>
      <c r="H408">
        <v>840000</v>
      </c>
      <c r="I408" t="s">
        <v>51</v>
      </c>
      <c r="J408" t="s">
        <v>122</v>
      </c>
    </row>
    <row r="409" spans="1:10" x14ac:dyDescent="0.35">
      <c r="A409" t="s">
        <v>535</v>
      </c>
      <c r="B409" s="2">
        <v>46246</v>
      </c>
      <c r="C409" t="s">
        <v>145</v>
      </c>
      <c r="D409" t="s">
        <v>121</v>
      </c>
      <c r="E409" t="s">
        <v>59</v>
      </c>
      <c r="F409">
        <v>2</v>
      </c>
      <c r="G409">
        <v>540000</v>
      </c>
      <c r="H409">
        <v>1080000</v>
      </c>
      <c r="I409" t="s">
        <v>51</v>
      </c>
      <c r="J409" t="s">
        <v>60</v>
      </c>
    </row>
    <row r="410" spans="1:10" x14ac:dyDescent="0.35">
      <c r="A410" t="s">
        <v>536</v>
      </c>
      <c r="B410" s="2">
        <v>46247</v>
      </c>
      <c r="C410" t="s">
        <v>34</v>
      </c>
      <c r="D410" t="s">
        <v>335</v>
      </c>
      <c r="E410" t="s">
        <v>35</v>
      </c>
      <c r="F410">
        <v>3</v>
      </c>
      <c r="G410">
        <v>120000</v>
      </c>
      <c r="H410">
        <v>360000</v>
      </c>
      <c r="I410" t="s">
        <v>36</v>
      </c>
      <c r="J410" t="s">
        <v>46</v>
      </c>
    </row>
    <row r="411" spans="1:10" x14ac:dyDescent="0.35">
      <c r="A411" t="s">
        <v>537</v>
      </c>
      <c r="B411" s="2">
        <v>46248</v>
      </c>
      <c r="C411" t="s">
        <v>82</v>
      </c>
      <c r="D411" t="s">
        <v>83</v>
      </c>
      <c r="E411" t="s">
        <v>41</v>
      </c>
      <c r="F411">
        <v>2</v>
      </c>
      <c r="G411">
        <v>18000</v>
      </c>
      <c r="H411">
        <v>36000</v>
      </c>
      <c r="I411" t="s">
        <v>51</v>
      </c>
      <c r="J411" t="s">
        <v>46</v>
      </c>
    </row>
    <row r="412" spans="1:10" x14ac:dyDescent="0.35">
      <c r="A412" t="s">
        <v>538</v>
      </c>
      <c r="B412" s="2">
        <v>46249</v>
      </c>
      <c r="C412" t="s">
        <v>53</v>
      </c>
      <c r="D412" t="s">
        <v>121</v>
      </c>
      <c r="E412" t="s">
        <v>50</v>
      </c>
      <c r="F412">
        <v>5</v>
      </c>
      <c r="G412">
        <v>280000</v>
      </c>
      <c r="H412">
        <v>1400000</v>
      </c>
      <c r="I412" t="s">
        <v>31</v>
      </c>
      <c r="J412" t="s">
        <v>46</v>
      </c>
    </row>
    <row r="413" spans="1:10" x14ac:dyDescent="0.35">
      <c r="A413" t="s">
        <v>539</v>
      </c>
      <c r="B413" s="2">
        <v>46250</v>
      </c>
      <c r="C413" t="s">
        <v>28</v>
      </c>
      <c r="D413" t="s">
        <v>269</v>
      </c>
      <c r="E413" t="s">
        <v>70</v>
      </c>
      <c r="F413">
        <v>2</v>
      </c>
      <c r="G413">
        <v>280000</v>
      </c>
      <c r="H413">
        <v>560000</v>
      </c>
      <c r="I413" t="s">
        <v>36</v>
      </c>
      <c r="J413" t="s">
        <v>46</v>
      </c>
    </row>
    <row r="414" spans="1:10" x14ac:dyDescent="0.35">
      <c r="A414" t="s">
        <v>540</v>
      </c>
      <c r="B414" s="2">
        <v>46251</v>
      </c>
      <c r="C414" t="s">
        <v>94</v>
      </c>
      <c r="D414" t="s">
        <v>65</v>
      </c>
      <c r="E414" t="s">
        <v>59</v>
      </c>
      <c r="F414">
        <v>4</v>
      </c>
      <c r="G414">
        <v>365000</v>
      </c>
      <c r="H414">
        <v>1460000</v>
      </c>
      <c r="I414" t="s">
        <v>51</v>
      </c>
      <c r="J414" t="s">
        <v>56</v>
      </c>
    </row>
    <row r="415" spans="1:10" x14ac:dyDescent="0.35">
      <c r="A415" t="s">
        <v>541</v>
      </c>
      <c r="B415" s="2">
        <v>46252</v>
      </c>
      <c r="C415" t="s">
        <v>133</v>
      </c>
      <c r="D415" t="s">
        <v>410</v>
      </c>
      <c r="E415" t="s">
        <v>30</v>
      </c>
      <c r="F415">
        <v>1</v>
      </c>
      <c r="G415">
        <v>365000</v>
      </c>
      <c r="H415">
        <v>365000</v>
      </c>
      <c r="I415" t="s">
        <v>36</v>
      </c>
      <c r="J415" t="s">
        <v>56</v>
      </c>
    </row>
    <row r="416" spans="1:10" x14ac:dyDescent="0.35">
      <c r="A416" t="s">
        <v>542</v>
      </c>
      <c r="B416" s="2">
        <v>46253</v>
      </c>
      <c r="C416" t="s">
        <v>120</v>
      </c>
      <c r="D416" t="s">
        <v>206</v>
      </c>
      <c r="E416" t="s">
        <v>95</v>
      </c>
      <c r="F416">
        <v>1</v>
      </c>
      <c r="G416">
        <v>28000</v>
      </c>
      <c r="H416">
        <v>28000</v>
      </c>
      <c r="I416" t="s">
        <v>36</v>
      </c>
      <c r="J416" t="s">
        <v>32</v>
      </c>
    </row>
    <row r="417" spans="1:10" x14ac:dyDescent="0.35">
      <c r="A417" t="s">
        <v>543</v>
      </c>
      <c r="B417" s="2">
        <v>46254</v>
      </c>
      <c r="C417" t="s">
        <v>145</v>
      </c>
      <c r="D417" t="s">
        <v>121</v>
      </c>
      <c r="E417" t="s">
        <v>70</v>
      </c>
      <c r="F417">
        <v>5</v>
      </c>
      <c r="G417">
        <v>28000</v>
      </c>
      <c r="H417">
        <v>140000</v>
      </c>
      <c r="I417" t="s">
        <v>51</v>
      </c>
      <c r="J417" t="s">
        <v>84</v>
      </c>
    </row>
    <row r="418" spans="1:10" x14ac:dyDescent="0.35">
      <c r="A418" t="s">
        <v>544</v>
      </c>
      <c r="B418" s="2">
        <v>46255</v>
      </c>
      <c r="C418" t="s">
        <v>106</v>
      </c>
      <c r="D418" t="s">
        <v>335</v>
      </c>
      <c r="E418" t="s">
        <v>35</v>
      </c>
      <c r="F418">
        <v>4</v>
      </c>
      <c r="G418">
        <v>45000</v>
      </c>
      <c r="H418">
        <v>180000</v>
      </c>
      <c r="I418" t="s">
        <v>36</v>
      </c>
      <c r="J418" t="s">
        <v>37</v>
      </c>
    </row>
    <row r="419" spans="1:10" x14ac:dyDescent="0.35">
      <c r="A419" t="s">
        <v>545</v>
      </c>
      <c r="B419" s="2">
        <v>46256</v>
      </c>
      <c r="C419" t="s">
        <v>135</v>
      </c>
      <c r="D419" t="s">
        <v>178</v>
      </c>
      <c r="E419" t="s">
        <v>55</v>
      </c>
      <c r="F419">
        <v>3</v>
      </c>
      <c r="G419">
        <v>18000</v>
      </c>
      <c r="H419">
        <v>54000</v>
      </c>
      <c r="I419" t="s">
        <v>31</v>
      </c>
      <c r="J419" t="s">
        <v>32</v>
      </c>
    </row>
    <row r="420" spans="1:10" x14ac:dyDescent="0.35">
      <c r="A420" t="s">
        <v>546</v>
      </c>
      <c r="B420" s="2">
        <v>46257</v>
      </c>
      <c r="C420" t="s">
        <v>72</v>
      </c>
      <c r="D420" t="s">
        <v>198</v>
      </c>
      <c r="E420" t="s">
        <v>66</v>
      </c>
      <c r="F420">
        <v>4</v>
      </c>
      <c r="G420">
        <v>68000</v>
      </c>
      <c r="H420">
        <v>272000</v>
      </c>
      <c r="I420" t="s">
        <v>31</v>
      </c>
      <c r="J420" t="s">
        <v>32</v>
      </c>
    </row>
    <row r="421" spans="1:10" x14ac:dyDescent="0.35">
      <c r="A421" t="s">
        <v>547</v>
      </c>
      <c r="B421" s="2">
        <v>46258</v>
      </c>
      <c r="C421" t="s">
        <v>97</v>
      </c>
      <c r="D421" t="s">
        <v>410</v>
      </c>
      <c r="E421" t="s">
        <v>95</v>
      </c>
      <c r="F421">
        <v>1</v>
      </c>
      <c r="G421">
        <v>68000</v>
      </c>
      <c r="H421">
        <v>68000</v>
      </c>
      <c r="I421" t="s">
        <v>36</v>
      </c>
      <c r="J421" t="s">
        <v>60</v>
      </c>
    </row>
    <row r="422" spans="1:10" x14ac:dyDescent="0.35">
      <c r="A422" t="s">
        <v>548</v>
      </c>
      <c r="B422" s="2">
        <v>46259</v>
      </c>
      <c r="C422" t="s">
        <v>75</v>
      </c>
      <c r="D422" t="s">
        <v>65</v>
      </c>
      <c r="E422" t="s">
        <v>70</v>
      </c>
      <c r="F422">
        <v>1</v>
      </c>
      <c r="G422">
        <v>365000</v>
      </c>
      <c r="H422">
        <v>365000</v>
      </c>
      <c r="I422" t="s">
        <v>51</v>
      </c>
      <c r="J422" t="s">
        <v>60</v>
      </c>
    </row>
    <row r="423" spans="1:10" x14ac:dyDescent="0.35">
      <c r="A423" t="s">
        <v>549</v>
      </c>
      <c r="B423" s="2">
        <v>46260</v>
      </c>
      <c r="C423" t="s">
        <v>97</v>
      </c>
      <c r="D423" t="s">
        <v>86</v>
      </c>
      <c r="E423" t="s">
        <v>55</v>
      </c>
      <c r="F423">
        <v>4</v>
      </c>
      <c r="G423">
        <v>365000</v>
      </c>
      <c r="H423">
        <v>1460000</v>
      </c>
      <c r="I423" t="s">
        <v>36</v>
      </c>
      <c r="J423" t="s">
        <v>84</v>
      </c>
    </row>
    <row r="424" spans="1:10" x14ac:dyDescent="0.35">
      <c r="A424" t="s">
        <v>550</v>
      </c>
      <c r="B424" s="2">
        <v>46261</v>
      </c>
      <c r="C424" t="s">
        <v>177</v>
      </c>
      <c r="D424" t="s">
        <v>92</v>
      </c>
      <c r="E424" t="s">
        <v>55</v>
      </c>
      <c r="F424">
        <v>4</v>
      </c>
      <c r="G424">
        <v>365000</v>
      </c>
      <c r="H424">
        <v>1460000</v>
      </c>
      <c r="I424" t="s">
        <v>31</v>
      </c>
      <c r="J424" t="s">
        <v>37</v>
      </c>
    </row>
    <row r="425" spans="1:10" x14ac:dyDescent="0.35">
      <c r="A425" t="s">
        <v>551</v>
      </c>
      <c r="B425" s="2">
        <v>46262</v>
      </c>
      <c r="C425" t="s">
        <v>109</v>
      </c>
      <c r="D425" t="s">
        <v>40</v>
      </c>
      <c r="E425" t="s">
        <v>50</v>
      </c>
      <c r="F425">
        <v>1</v>
      </c>
      <c r="G425">
        <v>540000</v>
      </c>
      <c r="H425">
        <v>540000</v>
      </c>
      <c r="I425" t="s">
        <v>36</v>
      </c>
      <c r="J425" t="s">
        <v>60</v>
      </c>
    </row>
    <row r="426" spans="1:10" x14ac:dyDescent="0.35">
      <c r="A426" t="s">
        <v>552</v>
      </c>
      <c r="B426" s="2">
        <v>46263</v>
      </c>
      <c r="C426" t="s">
        <v>112</v>
      </c>
      <c r="D426" t="s">
        <v>141</v>
      </c>
      <c r="E426" t="s">
        <v>70</v>
      </c>
      <c r="F426">
        <v>3</v>
      </c>
      <c r="G426">
        <v>185000</v>
      </c>
      <c r="H426">
        <v>555000</v>
      </c>
      <c r="I426" t="s">
        <v>36</v>
      </c>
      <c r="J426" t="s">
        <v>84</v>
      </c>
    </row>
    <row r="427" spans="1:10" x14ac:dyDescent="0.35">
      <c r="A427" t="s">
        <v>553</v>
      </c>
      <c r="B427" s="2">
        <v>46264</v>
      </c>
      <c r="C427" t="s">
        <v>112</v>
      </c>
      <c r="D427" t="s">
        <v>49</v>
      </c>
      <c r="E427" t="s">
        <v>30</v>
      </c>
      <c r="F427">
        <v>5</v>
      </c>
      <c r="G427">
        <v>28000</v>
      </c>
      <c r="H427">
        <v>140000</v>
      </c>
      <c r="I427" t="s">
        <v>31</v>
      </c>
      <c r="J427" t="s">
        <v>84</v>
      </c>
    </row>
    <row r="428" spans="1:10" x14ac:dyDescent="0.35">
      <c r="A428" t="s">
        <v>554</v>
      </c>
      <c r="B428" s="2">
        <v>46265</v>
      </c>
      <c r="C428" t="s">
        <v>236</v>
      </c>
      <c r="D428" t="s">
        <v>183</v>
      </c>
      <c r="E428" t="s">
        <v>41</v>
      </c>
      <c r="F428">
        <v>5</v>
      </c>
      <c r="G428">
        <v>540000</v>
      </c>
      <c r="H428">
        <v>2700000</v>
      </c>
      <c r="I428" t="s">
        <v>36</v>
      </c>
      <c r="J428" t="s">
        <v>56</v>
      </c>
    </row>
    <row r="429" spans="1:10" x14ac:dyDescent="0.35">
      <c r="A429" t="s">
        <v>555</v>
      </c>
      <c r="B429" s="2">
        <v>46266</v>
      </c>
      <c r="C429" t="s">
        <v>72</v>
      </c>
      <c r="D429" t="s">
        <v>92</v>
      </c>
      <c r="E429" t="s">
        <v>59</v>
      </c>
      <c r="F429">
        <v>4</v>
      </c>
      <c r="G429">
        <v>95000</v>
      </c>
      <c r="H429">
        <v>380000</v>
      </c>
      <c r="I429" t="s">
        <v>36</v>
      </c>
      <c r="J429" t="s">
        <v>146</v>
      </c>
    </row>
    <row r="430" spans="1:10" x14ac:dyDescent="0.35">
      <c r="A430" t="s">
        <v>556</v>
      </c>
      <c r="B430" s="2">
        <v>46267</v>
      </c>
      <c r="C430" t="s">
        <v>97</v>
      </c>
      <c r="D430" t="s">
        <v>183</v>
      </c>
      <c r="E430" t="s">
        <v>59</v>
      </c>
      <c r="F430">
        <v>5</v>
      </c>
      <c r="G430">
        <v>68000</v>
      </c>
      <c r="H430">
        <v>340000</v>
      </c>
      <c r="I430" t="s">
        <v>51</v>
      </c>
      <c r="J430" t="s">
        <v>56</v>
      </c>
    </row>
    <row r="431" spans="1:10" x14ac:dyDescent="0.35">
      <c r="A431" t="s">
        <v>557</v>
      </c>
      <c r="B431" s="2">
        <v>46268</v>
      </c>
      <c r="C431" t="s">
        <v>53</v>
      </c>
      <c r="D431" t="s">
        <v>92</v>
      </c>
      <c r="E431" t="s">
        <v>35</v>
      </c>
      <c r="F431">
        <v>1</v>
      </c>
      <c r="G431">
        <v>280000</v>
      </c>
      <c r="H431">
        <v>280000</v>
      </c>
      <c r="I431" t="s">
        <v>51</v>
      </c>
      <c r="J431" t="s">
        <v>37</v>
      </c>
    </row>
    <row r="432" spans="1:10" x14ac:dyDescent="0.35">
      <c r="A432" t="s">
        <v>558</v>
      </c>
      <c r="B432" s="2">
        <v>46269</v>
      </c>
      <c r="C432" t="s">
        <v>135</v>
      </c>
      <c r="D432" t="s">
        <v>208</v>
      </c>
      <c r="E432" t="s">
        <v>35</v>
      </c>
      <c r="F432">
        <v>1</v>
      </c>
      <c r="G432">
        <v>28000</v>
      </c>
      <c r="H432">
        <v>28000</v>
      </c>
      <c r="I432" t="s">
        <v>31</v>
      </c>
      <c r="J432" t="s">
        <v>60</v>
      </c>
    </row>
    <row r="433" spans="1:10" x14ac:dyDescent="0.35">
      <c r="A433" t="s">
        <v>559</v>
      </c>
      <c r="B433" s="2">
        <v>46270</v>
      </c>
      <c r="C433" t="s">
        <v>135</v>
      </c>
      <c r="D433" t="s">
        <v>198</v>
      </c>
      <c r="E433" t="s">
        <v>59</v>
      </c>
      <c r="F433">
        <v>4</v>
      </c>
      <c r="G433">
        <v>120000</v>
      </c>
      <c r="H433">
        <v>480000</v>
      </c>
      <c r="I433" t="s">
        <v>31</v>
      </c>
      <c r="J433" t="s">
        <v>37</v>
      </c>
    </row>
    <row r="434" spans="1:10" x14ac:dyDescent="0.35">
      <c r="A434" t="s">
        <v>560</v>
      </c>
      <c r="B434" s="2">
        <v>46271</v>
      </c>
      <c r="C434" t="s">
        <v>102</v>
      </c>
      <c r="D434" t="s">
        <v>40</v>
      </c>
      <c r="E434" t="s">
        <v>30</v>
      </c>
      <c r="F434">
        <v>4</v>
      </c>
      <c r="G434">
        <v>95000</v>
      </c>
      <c r="H434">
        <v>380000</v>
      </c>
      <c r="I434" t="s">
        <v>31</v>
      </c>
      <c r="J434" t="s">
        <v>32</v>
      </c>
    </row>
    <row r="435" spans="1:10" x14ac:dyDescent="0.35">
      <c r="A435" t="s">
        <v>561</v>
      </c>
      <c r="B435" s="2">
        <v>46272</v>
      </c>
      <c r="C435" t="s">
        <v>62</v>
      </c>
      <c r="D435" t="s">
        <v>121</v>
      </c>
      <c r="E435" t="s">
        <v>66</v>
      </c>
      <c r="F435">
        <v>4</v>
      </c>
      <c r="G435">
        <v>28000</v>
      </c>
      <c r="H435">
        <v>112000</v>
      </c>
      <c r="I435" t="s">
        <v>51</v>
      </c>
      <c r="J435" t="s">
        <v>32</v>
      </c>
    </row>
    <row r="436" spans="1:10" x14ac:dyDescent="0.35">
      <c r="A436" t="s">
        <v>562</v>
      </c>
      <c r="B436" s="2">
        <v>46273</v>
      </c>
      <c r="C436" t="s">
        <v>109</v>
      </c>
      <c r="D436" t="s">
        <v>54</v>
      </c>
      <c r="E436" t="s">
        <v>45</v>
      </c>
      <c r="F436">
        <v>3</v>
      </c>
      <c r="G436">
        <v>540000</v>
      </c>
      <c r="H436">
        <v>1620000</v>
      </c>
      <c r="I436" t="s">
        <v>31</v>
      </c>
      <c r="J436" t="s">
        <v>37</v>
      </c>
    </row>
    <row r="437" spans="1:10" x14ac:dyDescent="0.35">
      <c r="A437" t="s">
        <v>563</v>
      </c>
      <c r="B437" s="2">
        <v>46274</v>
      </c>
      <c r="C437" t="s">
        <v>120</v>
      </c>
      <c r="D437" t="s">
        <v>201</v>
      </c>
      <c r="E437" t="s">
        <v>41</v>
      </c>
      <c r="F437">
        <v>5</v>
      </c>
      <c r="G437">
        <v>18000</v>
      </c>
      <c r="H437">
        <v>90000</v>
      </c>
      <c r="I437" t="s">
        <v>31</v>
      </c>
      <c r="J437" t="s">
        <v>146</v>
      </c>
    </row>
    <row r="438" spans="1:10" x14ac:dyDescent="0.35">
      <c r="A438" t="s">
        <v>564</v>
      </c>
      <c r="B438" s="2">
        <v>46275</v>
      </c>
      <c r="C438" t="s">
        <v>117</v>
      </c>
      <c r="D438" t="s">
        <v>80</v>
      </c>
      <c r="E438" t="s">
        <v>66</v>
      </c>
      <c r="F438">
        <v>4</v>
      </c>
      <c r="G438">
        <v>280000</v>
      </c>
      <c r="H438">
        <v>1120000</v>
      </c>
      <c r="I438" t="s">
        <v>31</v>
      </c>
      <c r="J438" t="s">
        <v>146</v>
      </c>
    </row>
    <row r="439" spans="1:10" x14ac:dyDescent="0.35">
      <c r="A439" t="s">
        <v>565</v>
      </c>
      <c r="B439" s="2">
        <v>46276</v>
      </c>
      <c r="C439" t="s">
        <v>43</v>
      </c>
      <c r="D439" t="s">
        <v>216</v>
      </c>
      <c r="E439" t="s">
        <v>50</v>
      </c>
      <c r="F439">
        <v>2</v>
      </c>
      <c r="G439">
        <v>28000</v>
      </c>
      <c r="H439">
        <v>56000</v>
      </c>
      <c r="I439" t="s">
        <v>51</v>
      </c>
      <c r="J439" t="s">
        <v>56</v>
      </c>
    </row>
    <row r="440" spans="1:10" x14ac:dyDescent="0.35">
      <c r="A440" t="s">
        <v>566</v>
      </c>
      <c r="B440" s="2">
        <v>46277</v>
      </c>
      <c r="C440" t="s">
        <v>120</v>
      </c>
      <c r="D440" t="s">
        <v>216</v>
      </c>
      <c r="E440" t="s">
        <v>45</v>
      </c>
      <c r="F440">
        <v>2</v>
      </c>
      <c r="G440">
        <v>185000</v>
      </c>
      <c r="H440">
        <v>370000</v>
      </c>
      <c r="I440" t="s">
        <v>36</v>
      </c>
      <c r="J440" t="s">
        <v>37</v>
      </c>
    </row>
    <row r="441" spans="1:10" x14ac:dyDescent="0.35">
      <c r="A441" t="s">
        <v>567</v>
      </c>
      <c r="B441" s="2">
        <v>46278</v>
      </c>
      <c r="C441" t="s">
        <v>161</v>
      </c>
      <c r="D441" t="s">
        <v>125</v>
      </c>
      <c r="E441" t="s">
        <v>45</v>
      </c>
      <c r="F441">
        <v>1</v>
      </c>
      <c r="G441">
        <v>365000</v>
      </c>
      <c r="H441">
        <v>365000</v>
      </c>
      <c r="I441" t="s">
        <v>31</v>
      </c>
      <c r="J441" t="s">
        <v>60</v>
      </c>
    </row>
    <row r="442" spans="1:10" x14ac:dyDescent="0.35">
      <c r="A442" t="s">
        <v>568</v>
      </c>
      <c r="B442" s="2">
        <v>46279</v>
      </c>
      <c r="C442" t="s">
        <v>117</v>
      </c>
      <c r="D442" t="s">
        <v>253</v>
      </c>
      <c r="E442" t="s">
        <v>70</v>
      </c>
      <c r="F442">
        <v>5</v>
      </c>
      <c r="G442">
        <v>365000</v>
      </c>
      <c r="H442">
        <v>1825000</v>
      </c>
      <c r="I442" t="s">
        <v>36</v>
      </c>
      <c r="J442" t="s">
        <v>56</v>
      </c>
    </row>
    <row r="443" spans="1:10" x14ac:dyDescent="0.35">
      <c r="A443" t="s">
        <v>569</v>
      </c>
      <c r="B443" s="2">
        <v>46280</v>
      </c>
      <c r="C443" t="s">
        <v>39</v>
      </c>
      <c r="D443" t="s">
        <v>69</v>
      </c>
      <c r="E443" t="s">
        <v>30</v>
      </c>
      <c r="F443">
        <v>4</v>
      </c>
      <c r="G443">
        <v>280000</v>
      </c>
      <c r="H443">
        <v>1120000</v>
      </c>
      <c r="I443" t="s">
        <v>31</v>
      </c>
      <c r="J443" t="s">
        <v>122</v>
      </c>
    </row>
    <row r="444" spans="1:10" x14ac:dyDescent="0.35">
      <c r="A444" t="s">
        <v>570</v>
      </c>
      <c r="B444" s="2">
        <v>46281</v>
      </c>
      <c r="C444" t="s">
        <v>145</v>
      </c>
      <c r="D444" t="s">
        <v>107</v>
      </c>
      <c r="E444" t="s">
        <v>30</v>
      </c>
      <c r="F444">
        <v>2</v>
      </c>
      <c r="G444">
        <v>540000</v>
      </c>
      <c r="H444">
        <v>1080000</v>
      </c>
      <c r="I444" t="s">
        <v>36</v>
      </c>
      <c r="J444" t="s">
        <v>146</v>
      </c>
    </row>
    <row r="445" spans="1:10" x14ac:dyDescent="0.35">
      <c r="A445" t="s">
        <v>571</v>
      </c>
      <c r="B445" s="2">
        <v>46282</v>
      </c>
      <c r="C445" t="s">
        <v>72</v>
      </c>
      <c r="D445" t="s">
        <v>78</v>
      </c>
      <c r="E445" t="s">
        <v>45</v>
      </c>
      <c r="F445">
        <v>5</v>
      </c>
      <c r="G445">
        <v>365000</v>
      </c>
      <c r="H445">
        <v>1825000</v>
      </c>
      <c r="I445" t="s">
        <v>51</v>
      </c>
      <c r="J445" t="s">
        <v>46</v>
      </c>
    </row>
    <row r="446" spans="1:10" x14ac:dyDescent="0.35">
      <c r="A446" t="s">
        <v>572</v>
      </c>
      <c r="B446" s="2">
        <v>46283</v>
      </c>
      <c r="C446" t="s">
        <v>88</v>
      </c>
      <c r="D446" t="s">
        <v>188</v>
      </c>
      <c r="E446" t="s">
        <v>70</v>
      </c>
      <c r="F446">
        <v>1</v>
      </c>
      <c r="G446">
        <v>28000</v>
      </c>
      <c r="H446">
        <v>28000</v>
      </c>
      <c r="I446" t="s">
        <v>51</v>
      </c>
      <c r="J446" t="s">
        <v>56</v>
      </c>
    </row>
    <row r="447" spans="1:10" x14ac:dyDescent="0.35">
      <c r="A447" t="s">
        <v>573</v>
      </c>
      <c r="B447" s="2">
        <v>46284</v>
      </c>
      <c r="C447" t="s">
        <v>94</v>
      </c>
      <c r="D447" t="s">
        <v>253</v>
      </c>
      <c r="E447" t="s">
        <v>41</v>
      </c>
      <c r="F447">
        <v>3</v>
      </c>
      <c r="G447">
        <v>120000</v>
      </c>
      <c r="H447">
        <v>360000</v>
      </c>
      <c r="I447" t="s">
        <v>31</v>
      </c>
      <c r="J447" t="s">
        <v>32</v>
      </c>
    </row>
    <row r="448" spans="1:10" x14ac:dyDescent="0.35">
      <c r="A448" t="s">
        <v>574</v>
      </c>
      <c r="B448" s="2">
        <v>46285</v>
      </c>
      <c r="C448" t="s">
        <v>133</v>
      </c>
      <c r="D448" t="s">
        <v>78</v>
      </c>
      <c r="E448" t="s">
        <v>45</v>
      </c>
      <c r="F448">
        <v>5</v>
      </c>
      <c r="G448">
        <v>68000</v>
      </c>
      <c r="H448">
        <v>340000</v>
      </c>
      <c r="I448" t="s">
        <v>36</v>
      </c>
      <c r="J448" t="s">
        <v>56</v>
      </c>
    </row>
    <row r="449" spans="1:10" x14ac:dyDescent="0.35">
      <c r="A449" t="s">
        <v>575</v>
      </c>
      <c r="B449" s="2">
        <v>46286</v>
      </c>
      <c r="C449" t="s">
        <v>133</v>
      </c>
      <c r="D449" t="s">
        <v>239</v>
      </c>
      <c r="E449" t="s">
        <v>95</v>
      </c>
      <c r="F449">
        <v>5</v>
      </c>
      <c r="G449">
        <v>68000</v>
      </c>
      <c r="H449">
        <v>340000</v>
      </c>
      <c r="I449" t="s">
        <v>51</v>
      </c>
      <c r="J449" t="s">
        <v>37</v>
      </c>
    </row>
    <row r="450" spans="1:10" x14ac:dyDescent="0.35">
      <c r="A450" t="s">
        <v>576</v>
      </c>
      <c r="B450" s="2">
        <v>46287</v>
      </c>
      <c r="C450" t="s">
        <v>106</v>
      </c>
      <c r="D450" t="s">
        <v>49</v>
      </c>
      <c r="E450" t="s">
        <v>35</v>
      </c>
      <c r="F450">
        <v>3</v>
      </c>
      <c r="G450">
        <v>95000</v>
      </c>
      <c r="H450">
        <v>285000</v>
      </c>
      <c r="I450" t="s">
        <v>31</v>
      </c>
      <c r="J450" t="s">
        <v>46</v>
      </c>
    </row>
    <row r="451" spans="1:10" x14ac:dyDescent="0.35">
      <c r="A451" t="s">
        <v>577</v>
      </c>
      <c r="B451" s="2">
        <v>46288</v>
      </c>
      <c r="C451" t="s">
        <v>117</v>
      </c>
      <c r="D451" t="s">
        <v>76</v>
      </c>
      <c r="E451" t="s">
        <v>35</v>
      </c>
      <c r="F451">
        <v>5</v>
      </c>
      <c r="G451">
        <v>45000</v>
      </c>
      <c r="H451">
        <v>225000</v>
      </c>
      <c r="I451" t="s">
        <v>31</v>
      </c>
      <c r="J451" t="s">
        <v>37</v>
      </c>
    </row>
    <row r="452" spans="1:10" x14ac:dyDescent="0.35">
      <c r="A452" t="s">
        <v>578</v>
      </c>
      <c r="B452" s="2">
        <v>46289</v>
      </c>
      <c r="C452" t="s">
        <v>109</v>
      </c>
      <c r="D452" t="s">
        <v>49</v>
      </c>
      <c r="E452" t="s">
        <v>66</v>
      </c>
      <c r="F452">
        <v>1</v>
      </c>
      <c r="G452">
        <v>18000</v>
      </c>
      <c r="H452">
        <v>18000</v>
      </c>
      <c r="I452" t="s">
        <v>51</v>
      </c>
      <c r="J452" t="s">
        <v>84</v>
      </c>
    </row>
    <row r="453" spans="1:10" x14ac:dyDescent="0.35">
      <c r="A453" t="s">
        <v>579</v>
      </c>
      <c r="B453" s="2">
        <v>46290</v>
      </c>
      <c r="C453" t="s">
        <v>39</v>
      </c>
      <c r="D453" t="s">
        <v>127</v>
      </c>
      <c r="E453" t="s">
        <v>50</v>
      </c>
      <c r="F453">
        <v>1</v>
      </c>
      <c r="G453">
        <v>280000</v>
      </c>
      <c r="H453">
        <v>280000</v>
      </c>
      <c r="I453" t="s">
        <v>51</v>
      </c>
      <c r="J453" t="s">
        <v>32</v>
      </c>
    </row>
    <row r="454" spans="1:10" x14ac:dyDescent="0.35">
      <c r="A454" t="s">
        <v>580</v>
      </c>
      <c r="B454" s="2">
        <v>46291</v>
      </c>
      <c r="C454" t="s">
        <v>177</v>
      </c>
      <c r="D454" t="s">
        <v>143</v>
      </c>
      <c r="E454" t="s">
        <v>35</v>
      </c>
      <c r="F454">
        <v>3</v>
      </c>
      <c r="G454">
        <v>95000</v>
      </c>
      <c r="H454">
        <v>285000</v>
      </c>
      <c r="I454" t="s">
        <v>31</v>
      </c>
      <c r="J454" t="s">
        <v>32</v>
      </c>
    </row>
    <row r="455" spans="1:10" x14ac:dyDescent="0.35">
      <c r="A455" t="s">
        <v>581</v>
      </c>
      <c r="B455" s="2">
        <v>46292</v>
      </c>
      <c r="C455" t="s">
        <v>62</v>
      </c>
      <c r="D455" t="s">
        <v>63</v>
      </c>
      <c r="E455" t="s">
        <v>55</v>
      </c>
      <c r="F455">
        <v>4</v>
      </c>
      <c r="G455">
        <v>45000</v>
      </c>
      <c r="H455">
        <v>180000</v>
      </c>
      <c r="I455" t="s">
        <v>36</v>
      </c>
      <c r="J455" t="s">
        <v>146</v>
      </c>
    </row>
    <row r="456" spans="1:10" x14ac:dyDescent="0.35">
      <c r="A456" t="s">
        <v>582</v>
      </c>
      <c r="B456" s="2">
        <v>46293</v>
      </c>
      <c r="C456" t="s">
        <v>112</v>
      </c>
      <c r="D456" t="s">
        <v>143</v>
      </c>
      <c r="E456" t="s">
        <v>66</v>
      </c>
      <c r="F456">
        <v>2</v>
      </c>
      <c r="G456">
        <v>540000</v>
      </c>
      <c r="H456">
        <v>1080000</v>
      </c>
      <c r="I456" t="s">
        <v>36</v>
      </c>
      <c r="J456" t="s">
        <v>56</v>
      </c>
    </row>
    <row r="457" spans="1:10" x14ac:dyDescent="0.35">
      <c r="A457" t="s">
        <v>583</v>
      </c>
      <c r="B457" s="2">
        <v>46294</v>
      </c>
      <c r="C457" t="s">
        <v>94</v>
      </c>
      <c r="D457" t="s">
        <v>206</v>
      </c>
      <c r="E457" t="s">
        <v>35</v>
      </c>
      <c r="F457">
        <v>4</v>
      </c>
      <c r="G457">
        <v>185000</v>
      </c>
      <c r="H457">
        <v>740000</v>
      </c>
      <c r="I457" t="s">
        <v>36</v>
      </c>
      <c r="J457" t="s">
        <v>146</v>
      </c>
    </row>
    <row r="458" spans="1:10" x14ac:dyDescent="0.35">
      <c r="A458" t="s">
        <v>584</v>
      </c>
      <c r="B458" s="2">
        <v>46295</v>
      </c>
      <c r="C458" t="s">
        <v>117</v>
      </c>
      <c r="D458" t="s">
        <v>141</v>
      </c>
      <c r="E458" t="s">
        <v>50</v>
      </c>
      <c r="F458">
        <v>5</v>
      </c>
      <c r="G458">
        <v>185000</v>
      </c>
      <c r="H458">
        <v>925000</v>
      </c>
      <c r="I458" t="s">
        <v>31</v>
      </c>
      <c r="J458" t="s">
        <v>46</v>
      </c>
    </row>
    <row r="459" spans="1:10" x14ac:dyDescent="0.35">
      <c r="A459" t="s">
        <v>585</v>
      </c>
      <c r="B459" s="2">
        <v>46296</v>
      </c>
      <c r="C459" t="s">
        <v>167</v>
      </c>
      <c r="D459" t="s">
        <v>63</v>
      </c>
      <c r="E459" t="s">
        <v>30</v>
      </c>
      <c r="F459">
        <v>2</v>
      </c>
      <c r="G459">
        <v>18000</v>
      </c>
      <c r="H459">
        <v>36000</v>
      </c>
      <c r="I459" t="s">
        <v>51</v>
      </c>
      <c r="J459" t="s">
        <v>56</v>
      </c>
    </row>
    <row r="460" spans="1:10" x14ac:dyDescent="0.35">
      <c r="A460" t="s">
        <v>586</v>
      </c>
      <c r="B460" s="2">
        <v>46297</v>
      </c>
      <c r="C460" t="s">
        <v>161</v>
      </c>
      <c r="D460" t="s">
        <v>83</v>
      </c>
      <c r="E460" t="s">
        <v>30</v>
      </c>
      <c r="F460">
        <v>3</v>
      </c>
      <c r="G460">
        <v>365000</v>
      </c>
      <c r="H460">
        <v>1095000</v>
      </c>
      <c r="I460" t="s">
        <v>31</v>
      </c>
      <c r="J460" t="s">
        <v>84</v>
      </c>
    </row>
    <row r="461" spans="1:10" x14ac:dyDescent="0.35">
      <c r="A461" t="s">
        <v>587</v>
      </c>
      <c r="B461" s="2">
        <v>46298</v>
      </c>
      <c r="C461" t="s">
        <v>82</v>
      </c>
      <c r="D461" t="s">
        <v>90</v>
      </c>
      <c r="E461" t="s">
        <v>41</v>
      </c>
      <c r="F461">
        <v>3</v>
      </c>
      <c r="G461">
        <v>28000</v>
      </c>
      <c r="H461">
        <v>84000</v>
      </c>
      <c r="I461" t="s">
        <v>51</v>
      </c>
      <c r="J461" t="s">
        <v>37</v>
      </c>
    </row>
    <row r="462" spans="1:10" x14ac:dyDescent="0.35">
      <c r="A462" t="s">
        <v>588</v>
      </c>
      <c r="B462" s="2">
        <v>46299</v>
      </c>
      <c r="C462" t="s">
        <v>39</v>
      </c>
      <c r="D462" t="s">
        <v>172</v>
      </c>
      <c r="E462" t="s">
        <v>45</v>
      </c>
      <c r="F462">
        <v>2</v>
      </c>
      <c r="G462">
        <v>95000</v>
      </c>
      <c r="H462">
        <v>190000</v>
      </c>
      <c r="I462" t="s">
        <v>36</v>
      </c>
      <c r="J462" t="s">
        <v>84</v>
      </c>
    </row>
    <row r="463" spans="1:10" x14ac:dyDescent="0.35">
      <c r="A463" t="s">
        <v>589</v>
      </c>
      <c r="B463" s="2">
        <v>46300</v>
      </c>
      <c r="C463" t="s">
        <v>133</v>
      </c>
      <c r="D463" t="s">
        <v>40</v>
      </c>
      <c r="E463" t="s">
        <v>95</v>
      </c>
      <c r="F463">
        <v>1</v>
      </c>
      <c r="G463">
        <v>95000</v>
      </c>
      <c r="H463">
        <v>95000</v>
      </c>
      <c r="I463" t="s">
        <v>36</v>
      </c>
      <c r="J463" t="s">
        <v>32</v>
      </c>
    </row>
    <row r="464" spans="1:10" x14ac:dyDescent="0.35">
      <c r="A464" t="s">
        <v>590</v>
      </c>
      <c r="B464" s="2">
        <v>46301</v>
      </c>
      <c r="C464" t="s">
        <v>177</v>
      </c>
      <c r="D464" t="s">
        <v>269</v>
      </c>
      <c r="E464" t="s">
        <v>30</v>
      </c>
      <c r="F464">
        <v>2</v>
      </c>
      <c r="G464">
        <v>280000</v>
      </c>
      <c r="H464">
        <v>560000</v>
      </c>
      <c r="I464" t="s">
        <v>51</v>
      </c>
      <c r="J464" t="s">
        <v>46</v>
      </c>
    </row>
    <row r="465" spans="1:10" x14ac:dyDescent="0.35">
      <c r="A465" t="s">
        <v>591</v>
      </c>
      <c r="B465" s="2">
        <v>46302</v>
      </c>
      <c r="C465" t="s">
        <v>62</v>
      </c>
      <c r="D465" t="s">
        <v>98</v>
      </c>
      <c r="E465" t="s">
        <v>70</v>
      </c>
      <c r="F465">
        <v>5</v>
      </c>
      <c r="G465">
        <v>280000</v>
      </c>
      <c r="H465">
        <v>1400000</v>
      </c>
      <c r="I465" t="s">
        <v>51</v>
      </c>
      <c r="J465" t="s">
        <v>122</v>
      </c>
    </row>
    <row r="466" spans="1:10" x14ac:dyDescent="0.35">
      <c r="A466" t="s">
        <v>592</v>
      </c>
      <c r="B466" s="2">
        <v>46303</v>
      </c>
      <c r="C466" t="s">
        <v>94</v>
      </c>
      <c r="D466" t="s">
        <v>86</v>
      </c>
      <c r="E466" t="s">
        <v>35</v>
      </c>
      <c r="F466">
        <v>1</v>
      </c>
      <c r="G466">
        <v>185000</v>
      </c>
      <c r="H466">
        <v>185000</v>
      </c>
      <c r="I466" t="s">
        <v>31</v>
      </c>
      <c r="J466" t="s">
        <v>46</v>
      </c>
    </row>
    <row r="467" spans="1:10" x14ac:dyDescent="0.35">
      <c r="A467" t="s">
        <v>593</v>
      </c>
      <c r="B467" s="2">
        <v>46304</v>
      </c>
      <c r="C467" t="s">
        <v>117</v>
      </c>
      <c r="D467" t="s">
        <v>139</v>
      </c>
      <c r="E467" t="s">
        <v>70</v>
      </c>
      <c r="F467">
        <v>3</v>
      </c>
      <c r="G467">
        <v>185000</v>
      </c>
      <c r="H467">
        <v>555000</v>
      </c>
      <c r="I467" t="s">
        <v>36</v>
      </c>
      <c r="J467" t="s">
        <v>60</v>
      </c>
    </row>
    <row r="468" spans="1:10" x14ac:dyDescent="0.35">
      <c r="A468" t="s">
        <v>594</v>
      </c>
      <c r="B468" s="2">
        <v>46305</v>
      </c>
      <c r="C468" t="s">
        <v>120</v>
      </c>
      <c r="D468" t="s">
        <v>172</v>
      </c>
      <c r="E468" t="s">
        <v>50</v>
      </c>
      <c r="F468">
        <v>2</v>
      </c>
      <c r="G468">
        <v>120000</v>
      </c>
      <c r="H468">
        <v>240000</v>
      </c>
      <c r="I468" t="s">
        <v>31</v>
      </c>
      <c r="J468" t="s">
        <v>46</v>
      </c>
    </row>
    <row r="469" spans="1:10" x14ac:dyDescent="0.35">
      <c r="A469" t="s">
        <v>595</v>
      </c>
      <c r="B469" s="2">
        <v>46306</v>
      </c>
      <c r="C469" t="s">
        <v>34</v>
      </c>
      <c r="D469" t="s">
        <v>54</v>
      </c>
      <c r="E469" t="s">
        <v>30</v>
      </c>
      <c r="F469">
        <v>4</v>
      </c>
      <c r="G469">
        <v>120000</v>
      </c>
      <c r="H469">
        <v>480000</v>
      </c>
      <c r="I469" t="s">
        <v>31</v>
      </c>
      <c r="J469" t="s">
        <v>84</v>
      </c>
    </row>
    <row r="470" spans="1:10" x14ac:dyDescent="0.35">
      <c r="A470" t="s">
        <v>596</v>
      </c>
      <c r="B470" s="2">
        <v>46307</v>
      </c>
      <c r="C470" t="s">
        <v>39</v>
      </c>
      <c r="D470" t="s">
        <v>115</v>
      </c>
      <c r="E470" t="s">
        <v>95</v>
      </c>
      <c r="F470">
        <v>4</v>
      </c>
      <c r="G470">
        <v>365000</v>
      </c>
      <c r="H470">
        <v>1460000</v>
      </c>
      <c r="I470" t="s">
        <v>31</v>
      </c>
      <c r="J470" t="s">
        <v>60</v>
      </c>
    </row>
    <row r="471" spans="1:10" x14ac:dyDescent="0.35">
      <c r="A471" t="s">
        <v>597</v>
      </c>
      <c r="B471" s="2">
        <v>46308</v>
      </c>
      <c r="C471" t="s">
        <v>62</v>
      </c>
      <c r="D471" t="s">
        <v>40</v>
      </c>
      <c r="E471" t="s">
        <v>50</v>
      </c>
      <c r="F471">
        <v>5</v>
      </c>
      <c r="G471">
        <v>120000</v>
      </c>
      <c r="H471">
        <v>600000</v>
      </c>
      <c r="I471" t="s">
        <v>36</v>
      </c>
      <c r="J471" t="s">
        <v>60</v>
      </c>
    </row>
    <row r="472" spans="1:10" x14ac:dyDescent="0.35">
      <c r="A472" t="s">
        <v>598</v>
      </c>
      <c r="B472" s="2">
        <v>46309</v>
      </c>
      <c r="C472" t="s">
        <v>75</v>
      </c>
      <c r="D472" t="s">
        <v>246</v>
      </c>
      <c r="E472" t="s">
        <v>55</v>
      </c>
      <c r="F472">
        <v>4</v>
      </c>
      <c r="G472">
        <v>28000</v>
      </c>
      <c r="H472">
        <v>112000</v>
      </c>
      <c r="I472" t="s">
        <v>31</v>
      </c>
      <c r="J472" t="s">
        <v>56</v>
      </c>
    </row>
    <row r="473" spans="1:10" x14ac:dyDescent="0.35">
      <c r="A473" t="s">
        <v>599</v>
      </c>
      <c r="B473" s="2">
        <v>46310</v>
      </c>
      <c r="C473" t="s">
        <v>120</v>
      </c>
      <c r="D473" t="s">
        <v>113</v>
      </c>
      <c r="E473" t="s">
        <v>55</v>
      </c>
      <c r="F473">
        <v>2</v>
      </c>
      <c r="G473">
        <v>28000</v>
      </c>
      <c r="H473">
        <v>56000</v>
      </c>
      <c r="I473" t="s">
        <v>31</v>
      </c>
      <c r="J473" t="s">
        <v>56</v>
      </c>
    </row>
    <row r="474" spans="1:10" x14ac:dyDescent="0.35">
      <c r="A474" t="s">
        <v>600</v>
      </c>
      <c r="B474" s="2">
        <v>46311</v>
      </c>
      <c r="C474" t="s">
        <v>94</v>
      </c>
      <c r="D474" t="s">
        <v>100</v>
      </c>
      <c r="E474" t="s">
        <v>70</v>
      </c>
      <c r="F474">
        <v>2</v>
      </c>
      <c r="G474">
        <v>95000</v>
      </c>
      <c r="H474">
        <v>190000</v>
      </c>
      <c r="I474" t="s">
        <v>31</v>
      </c>
      <c r="J474" t="s">
        <v>60</v>
      </c>
    </row>
    <row r="475" spans="1:10" x14ac:dyDescent="0.35">
      <c r="A475" t="s">
        <v>601</v>
      </c>
      <c r="B475" s="2">
        <v>46312</v>
      </c>
      <c r="C475" t="s">
        <v>170</v>
      </c>
      <c r="D475" t="s">
        <v>162</v>
      </c>
      <c r="E475" t="s">
        <v>45</v>
      </c>
      <c r="F475">
        <v>4</v>
      </c>
      <c r="G475">
        <v>68000</v>
      </c>
      <c r="H475">
        <v>272000</v>
      </c>
      <c r="I475" t="s">
        <v>31</v>
      </c>
      <c r="J475" t="s">
        <v>122</v>
      </c>
    </row>
    <row r="476" spans="1:10" x14ac:dyDescent="0.35">
      <c r="A476" t="s">
        <v>602</v>
      </c>
      <c r="B476" s="2">
        <v>46313</v>
      </c>
      <c r="C476" t="s">
        <v>131</v>
      </c>
      <c r="D476" t="s">
        <v>121</v>
      </c>
      <c r="E476" t="s">
        <v>66</v>
      </c>
      <c r="F476">
        <v>2</v>
      </c>
      <c r="G476">
        <v>28000</v>
      </c>
      <c r="H476">
        <v>56000</v>
      </c>
      <c r="I476" t="s">
        <v>31</v>
      </c>
      <c r="J476" t="s">
        <v>56</v>
      </c>
    </row>
    <row r="477" spans="1:10" x14ac:dyDescent="0.35">
      <c r="A477" t="s">
        <v>603</v>
      </c>
      <c r="B477" s="2">
        <v>46314</v>
      </c>
      <c r="C477" t="s">
        <v>138</v>
      </c>
      <c r="D477" t="s">
        <v>158</v>
      </c>
      <c r="E477" t="s">
        <v>45</v>
      </c>
      <c r="F477">
        <v>5</v>
      </c>
      <c r="G477">
        <v>45000</v>
      </c>
      <c r="H477">
        <v>225000</v>
      </c>
      <c r="I477" t="s">
        <v>31</v>
      </c>
      <c r="J477" t="s">
        <v>46</v>
      </c>
    </row>
    <row r="478" spans="1:10" x14ac:dyDescent="0.35">
      <c r="A478" t="s">
        <v>604</v>
      </c>
      <c r="B478" s="2">
        <v>46315</v>
      </c>
      <c r="C478" t="s">
        <v>97</v>
      </c>
      <c r="D478" t="s">
        <v>153</v>
      </c>
      <c r="E478" t="s">
        <v>41</v>
      </c>
      <c r="F478">
        <v>1</v>
      </c>
      <c r="G478">
        <v>185000</v>
      </c>
      <c r="H478">
        <v>185000</v>
      </c>
      <c r="I478" t="s">
        <v>36</v>
      </c>
      <c r="J478" t="s">
        <v>84</v>
      </c>
    </row>
    <row r="479" spans="1:10" x14ac:dyDescent="0.35">
      <c r="A479" t="s">
        <v>605</v>
      </c>
      <c r="B479" s="2">
        <v>46316</v>
      </c>
      <c r="C479" t="s">
        <v>68</v>
      </c>
      <c r="D479" t="s">
        <v>100</v>
      </c>
      <c r="E479" t="s">
        <v>45</v>
      </c>
      <c r="F479">
        <v>5</v>
      </c>
      <c r="G479">
        <v>280000</v>
      </c>
      <c r="H479">
        <v>1400000</v>
      </c>
      <c r="I479" t="s">
        <v>31</v>
      </c>
      <c r="J479" t="s">
        <v>46</v>
      </c>
    </row>
    <row r="480" spans="1:10" x14ac:dyDescent="0.35">
      <c r="A480" t="s">
        <v>606</v>
      </c>
      <c r="B480" s="2">
        <v>46317</v>
      </c>
      <c r="C480" t="s">
        <v>94</v>
      </c>
      <c r="D480" t="s">
        <v>58</v>
      </c>
      <c r="E480" t="s">
        <v>41</v>
      </c>
      <c r="F480">
        <v>5</v>
      </c>
      <c r="G480">
        <v>120000</v>
      </c>
      <c r="H480">
        <v>600000</v>
      </c>
      <c r="I480" t="s">
        <v>51</v>
      </c>
      <c r="J480" t="s">
        <v>122</v>
      </c>
    </row>
    <row r="481" spans="1:10" x14ac:dyDescent="0.35">
      <c r="A481" t="s">
        <v>607</v>
      </c>
      <c r="B481" s="2">
        <v>46318</v>
      </c>
      <c r="C481" t="s">
        <v>53</v>
      </c>
      <c r="D481" t="s">
        <v>206</v>
      </c>
      <c r="E481" t="s">
        <v>41</v>
      </c>
      <c r="F481">
        <v>2</v>
      </c>
      <c r="G481">
        <v>95000</v>
      </c>
      <c r="H481">
        <v>190000</v>
      </c>
      <c r="I481" t="s">
        <v>31</v>
      </c>
      <c r="J481" t="s">
        <v>32</v>
      </c>
    </row>
    <row r="482" spans="1:10" x14ac:dyDescent="0.35">
      <c r="A482" t="s">
        <v>608</v>
      </c>
      <c r="B482" s="2">
        <v>46319</v>
      </c>
      <c r="C482" t="s">
        <v>177</v>
      </c>
      <c r="D482" t="s">
        <v>110</v>
      </c>
      <c r="E482" t="s">
        <v>95</v>
      </c>
      <c r="F482">
        <v>1</v>
      </c>
      <c r="G482">
        <v>18000</v>
      </c>
      <c r="H482">
        <v>18000</v>
      </c>
      <c r="I482" t="s">
        <v>31</v>
      </c>
      <c r="J482" t="s">
        <v>146</v>
      </c>
    </row>
    <row r="483" spans="1:10" x14ac:dyDescent="0.35">
      <c r="A483" t="s">
        <v>609</v>
      </c>
      <c r="B483" s="2">
        <v>46320</v>
      </c>
      <c r="C483" t="s">
        <v>82</v>
      </c>
      <c r="D483" t="s">
        <v>100</v>
      </c>
      <c r="E483" t="s">
        <v>30</v>
      </c>
      <c r="F483">
        <v>2</v>
      </c>
      <c r="G483">
        <v>280000</v>
      </c>
      <c r="H483">
        <v>560000</v>
      </c>
      <c r="I483" t="s">
        <v>36</v>
      </c>
      <c r="J483" t="s">
        <v>84</v>
      </c>
    </row>
    <row r="484" spans="1:10" x14ac:dyDescent="0.35">
      <c r="A484" t="s">
        <v>610</v>
      </c>
      <c r="B484" s="2">
        <v>46321</v>
      </c>
      <c r="C484" t="s">
        <v>170</v>
      </c>
      <c r="D484" t="s">
        <v>69</v>
      </c>
      <c r="E484" t="s">
        <v>95</v>
      </c>
      <c r="F484">
        <v>3</v>
      </c>
      <c r="G484">
        <v>45000</v>
      </c>
      <c r="H484">
        <v>135000</v>
      </c>
      <c r="I484" t="s">
        <v>36</v>
      </c>
      <c r="J484" t="s">
        <v>56</v>
      </c>
    </row>
    <row r="485" spans="1:10" x14ac:dyDescent="0.35">
      <c r="A485" t="s">
        <v>611</v>
      </c>
      <c r="B485" s="2">
        <v>46322</v>
      </c>
      <c r="C485" t="s">
        <v>43</v>
      </c>
      <c r="D485" t="s">
        <v>139</v>
      </c>
      <c r="E485" t="s">
        <v>41</v>
      </c>
      <c r="F485">
        <v>2</v>
      </c>
      <c r="G485">
        <v>120000</v>
      </c>
      <c r="H485">
        <v>240000</v>
      </c>
      <c r="I485" t="s">
        <v>51</v>
      </c>
      <c r="J485" t="s">
        <v>84</v>
      </c>
    </row>
    <row r="486" spans="1:10" x14ac:dyDescent="0.35">
      <c r="A486" t="s">
        <v>612</v>
      </c>
      <c r="B486" s="2">
        <v>46323</v>
      </c>
      <c r="C486" t="s">
        <v>97</v>
      </c>
      <c r="D486" t="s">
        <v>69</v>
      </c>
      <c r="E486" t="s">
        <v>50</v>
      </c>
      <c r="F486">
        <v>2</v>
      </c>
      <c r="G486">
        <v>45000</v>
      </c>
      <c r="H486">
        <v>90000</v>
      </c>
      <c r="I486" t="s">
        <v>51</v>
      </c>
      <c r="J486" t="s">
        <v>46</v>
      </c>
    </row>
    <row r="487" spans="1:10" x14ac:dyDescent="0.35">
      <c r="A487" t="s">
        <v>613</v>
      </c>
      <c r="B487" s="2">
        <v>46324</v>
      </c>
      <c r="C487" t="s">
        <v>75</v>
      </c>
      <c r="D487" t="s">
        <v>65</v>
      </c>
      <c r="E487" t="s">
        <v>55</v>
      </c>
      <c r="F487">
        <v>2</v>
      </c>
      <c r="G487">
        <v>185000</v>
      </c>
      <c r="H487">
        <v>370000</v>
      </c>
      <c r="I487" t="s">
        <v>36</v>
      </c>
      <c r="J487" t="s">
        <v>146</v>
      </c>
    </row>
    <row r="488" spans="1:10" x14ac:dyDescent="0.35">
      <c r="A488" t="s">
        <v>614</v>
      </c>
      <c r="B488" s="2">
        <v>46325</v>
      </c>
      <c r="C488" t="s">
        <v>102</v>
      </c>
      <c r="D488" t="s">
        <v>216</v>
      </c>
      <c r="E488" t="s">
        <v>41</v>
      </c>
      <c r="F488">
        <v>1</v>
      </c>
      <c r="G488">
        <v>185000</v>
      </c>
      <c r="H488">
        <v>185000</v>
      </c>
      <c r="I488" t="s">
        <v>36</v>
      </c>
      <c r="J488" t="s">
        <v>37</v>
      </c>
    </row>
    <row r="489" spans="1:10" x14ac:dyDescent="0.35">
      <c r="A489" t="s">
        <v>615</v>
      </c>
      <c r="B489" s="2">
        <v>46326</v>
      </c>
      <c r="C489" t="s">
        <v>135</v>
      </c>
      <c r="D489" t="s">
        <v>125</v>
      </c>
      <c r="E489" t="s">
        <v>95</v>
      </c>
      <c r="F489">
        <v>2</v>
      </c>
      <c r="G489">
        <v>365000</v>
      </c>
      <c r="H489">
        <v>730000</v>
      </c>
      <c r="I489" t="s">
        <v>31</v>
      </c>
      <c r="J489" t="s">
        <v>37</v>
      </c>
    </row>
    <row r="490" spans="1:10" x14ac:dyDescent="0.35">
      <c r="A490" t="s">
        <v>616</v>
      </c>
      <c r="B490" s="2">
        <v>46327</v>
      </c>
      <c r="C490" t="s">
        <v>138</v>
      </c>
      <c r="D490" t="s">
        <v>92</v>
      </c>
      <c r="E490" t="s">
        <v>50</v>
      </c>
      <c r="F490">
        <v>1</v>
      </c>
      <c r="G490">
        <v>95000</v>
      </c>
      <c r="H490">
        <v>95000</v>
      </c>
      <c r="I490" t="s">
        <v>36</v>
      </c>
      <c r="J490" t="s">
        <v>56</v>
      </c>
    </row>
    <row r="491" spans="1:10" x14ac:dyDescent="0.35">
      <c r="A491" t="s">
        <v>617</v>
      </c>
      <c r="B491" s="2">
        <v>46328</v>
      </c>
      <c r="C491" t="s">
        <v>102</v>
      </c>
      <c r="D491" t="s">
        <v>100</v>
      </c>
      <c r="E491" t="s">
        <v>95</v>
      </c>
      <c r="F491">
        <v>4</v>
      </c>
      <c r="G491">
        <v>280000</v>
      </c>
      <c r="H491">
        <v>1120000</v>
      </c>
      <c r="I491" t="s">
        <v>51</v>
      </c>
      <c r="J491" t="s">
        <v>122</v>
      </c>
    </row>
    <row r="492" spans="1:10" x14ac:dyDescent="0.35">
      <c r="A492" t="s">
        <v>618</v>
      </c>
      <c r="B492" s="2">
        <v>46329</v>
      </c>
      <c r="C492" t="s">
        <v>68</v>
      </c>
      <c r="D492" t="s">
        <v>175</v>
      </c>
      <c r="E492" t="s">
        <v>45</v>
      </c>
      <c r="F492">
        <v>3</v>
      </c>
      <c r="G492">
        <v>540000</v>
      </c>
      <c r="H492">
        <v>1620000</v>
      </c>
      <c r="I492" t="s">
        <v>31</v>
      </c>
      <c r="J492" t="s">
        <v>37</v>
      </c>
    </row>
    <row r="493" spans="1:10" x14ac:dyDescent="0.35">
      <c r="A493" t="s">
        <v>619</v>
      </c>
      <c r="B493" s="2">
        <v>46330</v>
      </c>
      <c r="C493" t="s">
        <v>133</v>
      </c>
      <c r="D493" t="s">
        <v>115</v>
      </c>
      <c r="E493" t="s">
        <v>35</v>
      </c>
      <c r="F493">
        <v>1</v>
      </c>
      <c r="G493">
        <v>540000</v>
      </c>
      <c r="H493">
        <v>540000</v>
      </c>
      <c r="I493" t="s">
        <v>51</v>
      </c>
      <c r="J493" t="s">
        <v>84</v>
      </c>
    </row>
    <row r="494" spans="1:10" x14ac:dyDescent="0.35">
      <c r="A494" t="s">
        <v>620</v>
      </c>
      <c r="B494" s="2">
        <v>46331</v>
      </c>
      <c r="C494" t="s">
        <v>53</v>
      </c>
      <c r="D494" t="s">
        <v>239</v>
      </c>
      <c r="E494" t="s">
        <v>70</v>
      </c>
      <c r="F494">
        <v>4</v>
      </c>
      <c r="G494">
        <v>280000</v>
      </c>
      <c r="H494">
        <v>1120000</v>
      </c>
      <c r="I494" t="s">
        <v>31</v>
      </c>
      <c r="J494" t="s">
        <v>37</v>
      </c>
    </row>
    <row r="495" spans="1:10" x14ac:dyDescent="0.35">
      <c r="A495" t="s">
        <v>621</v>
      </c>
      <c r="B495" s="2">
        <v>46332</v>
      </c>
      <c r="C495" t="s">
        <v>120</v>
      </c>
      <c r="D495" t="s">
        <v>158</v>
      </c>
      <c r="E495" t="s">
        <v>66</v>
      </c>
      <c r="F495">
        <v>1</v>
      </c>
      <c r="G495">
        <v>18000</v>
      </c>
      <c r="H495">
        <v>18000</v>
      </c>
      <c r="I495" t="s">
        <v>36</v>
      </c>
      <c r="J495" t="s">
        <v>32</v>
      </c>
    </row>
    <row r="496" spans="1:10" x14ac:dyDescent="0.35">
      <c r="A496" t="s">
        <v>622</v>
      </c>
      <c r="B496" s="2">
        <v>46333</v>
      </c>
      <c r="C496" t="s">
        <v>167</v>
      </c>
      <c r="D496" t="s">
        <v>73</v>
      </c>
      <c r="E496" t="s">
        <v>95</v>
      </c>
      <c r="F496">
        <v>1</v>
      </c>
      <c r="G496">
        <v>95000</v>
      </c>
      <c r="H496">
        <v>95000</v>
      </c>
      <c r="I496" t="s">
        <v>51</v>
      </c>
      <c r="J496" t="s">
        <v>32</v>
      </c>
    </row>
    <row r="497" spans="1:10" x14ac:dyDescent="0.35">
      <c r="A497" t="s">
        <v>623</v>
      </c>
      <c r="B497" s="2">
        <v>46334</v>
      </c>
      <c r="C497" t="s">
        <v>48</v>
      </c>
      <c r="D497" t="s">
        <v>410</v>
      </c>
      <c r="E497" t="s">
        <v>66</v>
      </c>
      <c r="F497">
        <v>3</v>
      </c>
      <c r="G497">
        <v>45000</v>
      </c>
      <c r="H497">
        <v>135000</v>
      </c>
      <c r="I497" t="s">
        <v>31</v>
      </c>
      <c r="J497" t="s">
        <v>56</v>
      </c>
    </row>
    <row r="498" spans="1:10" x14ac:dyDescent="0.35">
      <c r="A498" t="s">
        <v>624</v>
      </c>
      <c r="B498" s="2">
        <v>46335</v>
      </c>
      <c r="C498" t="s">
        <v>97</v>
      </c>
      <c r="D498" t="s">
        <v>69</v>
      </c>
      <c r="E498" t="s">
        <v>59</v>
      </c>
      <c r="F498">
        <v>5</v>
      </c>
      <c r="G498">
        <v>18000</v>
      </c>
      <c r="H498">
        <v>90000</v>
      </c>
      <c r="I498" t="s">
        <v>31</v>
      </c>
      <c r="J498" t="s">
        <v>32</v>
      </c>
    </row>
    <row r="499" spans="1:10" x14ac:dyDescent="0.35">
      <c r="A499" t="s">
        <v>625</v>
      </c>
      <c r="B499" s="2">
        <v>46336</v>
      </c>
      <c r="C499" t="s">
        <v>145</v>
      </c>
      <c r="D499" t="s">
        <v>139</v>
      </c>
      <c r="E499" t="s">
        <v>95</v>
      </c>
      <c r="F499">
        <v>5</v>
      </c>
      <c r="G499">
        <v>68000</v>
      </c>
      <c r="H499">
        <v>340000</v>
      </c>
      <c r="I499" t="s">
        <v>36</v>
      </c>
      <c r="J499" t="s">
        <v>37</v>
      </c>
    </row>
    <row r="500" spans="1:10" x14ac:dyDescent="0.35">
      <c r="A500" t="s">
        <v>626</v>
      </c>
      <c r="B500" s="2">
        <v>46337</v>
      </c>
      <c r="C500" t="s">
        <v>28</v>
      </c>
      <c r="D500" t="s">
        <v>153</v>
      </c>
      <c r="E500" t="s">
        <v>35</v>
      </c>
      <c r="F500">
        <v>1</v>
      </c>
      <c r="G500">
        <v>280000</v>
      </c>
      <c r="H500">
        <v>280000</v>
      </c>
      <c r="I500" t="s">
        <v>36</v>
      </c>
      <c r="J500" t="s">
        <v>122</v>
      </c>
    </row>
    <row r="501" spans="1:10" x14ac:dyDescent="0.35">
      <c r="A501" t="s">
        <v>627</v>
      </c>
      <c r="B501" s="2">
        <v>46338</v>
      </c>
      <c r="C501" t="s">
        <v>39</v>
      </c>
      <c r="D501" t="s">
        <v>100</v>
      </c>
      <c r="E501" t="s">
        <v>66</v>
      </c>
      <c r="F501">
        <v>2</v>
      </c>
      <c r="G501">
        <v>45000</v>
      </c>
      <c r="H501">
        <v>90000</v>
      </c>
      <c r="I501" t="s">
        <v>36</v>
      </c>
      <c r="J501" t="s">
        <v>60</v>
      </c>
    </row>
    <row r="502" spans="1:10" x14ac:dyDescent="0.35">
      <c r="A502" t="s">
        <v>628</v>
      </c>
      <c r="B502" s="2">
        <v>46339</v>
      </c>
      <c r="C502" t="s">
        <v>138</v>
      </c>
      <c r="D502" t="s">
        <v>98</v>
      </c>
      <c r="E502" t="s">
        <v>41</v>
      </c>
      <c r="F502">
        <v>4</v>
      </c>
      <c r="G502">
        <v>540000</v>
      </c>
      <c r="H502">
        <v>2160000</v>
      </c>
      <c r="I502" t="s">
        <v>51</v>
      </c>
      <c r="J502" t="s">
        <v>60</v>
      </c>
    </row>
    <row r="503" spans="1:10" x14ac:dyDescent="0.35">
      <c r="A503" t="s">
        <v>629</v>
      </c>
      <c r="B503" s="2">
        <v>46340</v>
      </c>
      <c r="C503" t="s">
        <v>75</v>
      </c>
      <c r="D503" t="s">
        <v>107</v>
      </c>
      <c r="E503" t="s">
        <v>95</v>
      </c>
      <c r="F503">
        <v>2</v>
      </c>
      <c r="G503">
        <v>28000</v>
      </c>
      <c r="H503">
        <v>56000</v>
      </c>
      <c r="I503" t="s">
        <v>31</v>
      </c>
      <c r="J503" t="s">
        <v>56</v>
      </c>
    </row>
    <row r="504" spans="1:10" x14ac:dyDescent="0.35">
      <c r="A504" t="s">
        <v>630</v>
      </c>
      <c r="B504" s="2">
        <v>46341</v>
      </c>
      <c r="C504" t="s">
        <v>68</v>
      </c>
      <c r="D504" t="s">
        <v>153</v>
      </c>
      <c r="E504" t="s">
        <v>30</v>
      </c>
      <c r="F504">
        <v>2</v>
      </c>
      <c r="G504">
        <v>365000</v>
      </c>
      <c r="H504">
        <v>730000</v>
      </c>
      <c r="I504" t="s">
        <v>36</v>
      </c>
      <c r="J504" t="s">
        <v>146</v>
      </c>
    </row>
    <row r="505" spans="1:10" x14ac:dyDescent="0.35">
      <c r="A505" t="s">
        <v>631</v>
      </c>
      <c r="B505" s="2">
        <v>46342</v>
      </c>
      <c r="C505" t="s">
        <v>94</v>
      </c>
      <c r="D505" t="s">
        <v>198</v>
      </c>
      <c r="E505" t="s">
        <v>70</v>
      </c>
      <c r="F505">
        <v>1</v>
      </c>
      <c r="G505">
        <v>540000</v>
      </c>
      <c r="H505">
        <v>540000</v>
      </c>
      <c r="I505" t="s">
        <v>51</v>
      </c>
      <c r="J505" t="s">
        <v>60</v>
      </c>
    </row>
    <row r="506" spans="1:10" x14ac:dyDescent="0.35">
      <c r="A506" t="s">
        <v>632</v>
      </c>
      <c r="B506" s="2">
        <v>46343</v>
      </c>
      <c r="C506" t="s">
        <v>170</v>
      </c>
      <c r="D506" t="s">
        <v>201</v>
      </c>
      <c r="E506" t="s">
        <v>35</v>
      </c>
      <c r="F506">
        <v>1</v>
      </c>
      <c r="G506">
        <v>95000</v>
      </c>
      <c r="H506">
        <v>95000</v>
      </c>
      <c r="I506" t="s">
        <v>51</v>
      </c>
      <c r="J506" t="s">
        <v>60</v>
      </c>
    </row>
    <row r="507" spans="1:10" x14ac:dyDescent="0.35">
      <c r="A507" t="s">
        <v>633</v>
      </c>
      <c r="B507" s="2">
        <v>46344</v>
      </c>
      <c r="C507" t="s">
        <v>131</v>
      </c>
      <c r="D507" t="s">
        <v>58</v>
      </c>
      <c r="E507" t="s">
        <v>66</v>
      </c>
      <c r="F507">
        <v>1</v>
      </c>
      <c r="G507">
        <v>185000</v>
      </c>
      <c r="H507">
        <v>185000</v>
      </c>
      <c r="I507" t="s">
        <v>51</v>
      </c>
      <c r="J507" t="s">
        <v>32</v>
      </c>
    </row>
    <row r="508" spans="1:10" x14ac:dyDescent="0.35">
      <c r="A508" t="s">
        <v>634</v>
      </c>
      <c r="B508" s="2">
        <v>46345</v>
      </c>
      <c r="C508" t="s">
        <v>82</v>
      </c>
      <c r="D508" t="s">
        <v>100</v>
      </c>
      <c r="E508" t="s">
        <v>35</v>
      </c>
      <c r="F508">
        <v>1</v>
      </c>
      <c r="G508">
        <v>28000</v>
      </c>
      <c r="H508">
        <v>28000</v>
      </c>
      <c r="I508" t="s">
        <v>36</v>
      </c>
      <c r="J508" t="s">
        <v>32</v>
      </c>
    </row>
    <row r="509" spans="1:10" x14ac:dyDescent="0.35">
      <c r="A509" t="s">
        <v>635</v>
      </c>
      <c r="B509" s="2">
        <v>46346</v>
      </c>
      <c r="C509" t="s">
        <v>236</v>
      </c>
      <c r="D509" t="s">
        <v>153</v>
      </c>
      <c r="E509" t="s">
        <v>50</v>
      </c>
      <c r="F509">
        <v>5</v>
      </c>
      <c r="G509">
        <v>365000</v>
      </c>
      <c r="H509">
        <v>1825000</v>
      </c>
      <c r="I509" t="s">
        <v>36</v>
      </c>
      <c r="J509" t="s">
        <v>37</v>
      </c>
    </row>
    <row r="510" spans="1:10" x14ac:dyDescent="0.35">
      <c r="A510" t="s">
        <v>636</v>
      </c>
      <c r="B510" s="2">
        <v>46347</v>
      </c>
      <c r="C510" t="s">
        <v>117</v>
      </c>
      <c r="D510" t="s">
        <v>248</v>
      </c>
      <c r="E510" t="s">
        <v>70</v>
      </c>
      <c r="F510">
        <v>1</v>
      </c>
      <c r="G510">
        <v>365000</v>
      </c>
      <c r="H510">
        <v>365000</v>
      </c>
      <c r="I510" t="s">
        <v>31</v>
      </c>
      <c r="J510" t="s">
        <v>56</v>
      </c>
    </row>
    <row r="511" spans="1:10" x14ac:dyDescent="0.35">
      <c r="A511" t="s">
        <v>637</v>
      </c>
      <c r="B511" s="2">
        <v>46348</v>
      </c>
      <c r="C511" t="s">
        <v>68</v>
      </c>
      <c r="D511" t="s">
        <v>143</v>
      </c>
      <c r="E511" t="s">
        <v>41</v>
      </c>
      <c r="F511">
        <v>5</v>
      </c>
      <c r="G511">
        <v>68000</v>
      </c>
      <c r="H511">
        <v>340000</v>
      </c>
      <c r="I511" t="s">
        <v>31</v>
      </c>
      <c r="J511" t="s">
        <v>146</v>
      </c>
    </row>
    <row r="512" spans="1:10" x14ac:dyDescent="0.35">
      <c r="A512" t="s">
        <v>638</v>
      </c>
      <c r="B512" s="2">
        <v>46349</v>
      </c>
      <c r="C512" t="s">
        <v>28</v>
      </c>
      <c r="D512" t="s">
        <v>69</v>
      </c>
      <c r="E512" t="s">
        <v>95</v>
      </c>
      <c r="F512">
        <v>5</v>
      </c>
      <c r="G512">
        <v>68000</v>
      </c>
      <c r="H512">
        <v>340000</v>
      </c>
      <c r="I512" t="s">
        <v>36</v>
      </c>
      <c r="J512" t="s">
        <v>56</v>
      </c>
    </row>
    <row r="513" spans="1:10" x14ac:dyDescent="0.35">
      <c r="A513" t="s">
        <v>639</v>
      </c>
      <c r="B513" s="2">
        <v>46350</v>
      </c>
      <c r="C513" t="s">
        <v>131</v>
      </c>
      <c r="D513" t="s">
        <v>107</v>
      </c>
      <c r="E513" t="s">
        <v>95</v>
      </c>
      <c r="F513">
        <v>1</v>
      </c>
      <c r="G513">
        <v>120000</v>
      </c>
      <c r="H513">
        <v>120000</v>
      </c>
      <c r="I513" t="s">
        <v>51</v>
      </c>
      <c r="J513" t="s">
        <v>46</v>
      </c>
    </row>
    <row r="514" spans="1:10" x14ac:dyDescent="0.35">
      <c r="A514" t="s">
        <v>640</v>
      </c>
      <c r="B514" s="2">
        <v>46351</v>
      </c>
      <c r="C514" t="s">
        <v>88</v>
      </c>
      <c r="D514" t="s">
        <v>162</v>
      </c>
      <c r="E514" t="s">
        <v>95</v>
      </c>
      <c r="F514">
        <v>3</v>
      </c>
      <c r="G514">
        <v>540000</v>
      </c>
      <c r="H514">
        <v>1620000</v>
      </c>
      <c r="I514" t="s">
        <v>51</v>
      </c>
      <c r="J514" t="s">
        <v>84</v>
      </c>
    </row>
    <row r="515" spans="1:10" x14ac:dyDescent="0.35">
      <c r="A515" t="s">
        <v>641</v>
      </c>
      <c r="B515" s="2">
        <v>46352</v>
      </c>
      <c r="C515" t="s">
        <v>236</v>
      </c>
      <c r="D515" t="s">
        <v>216</v>
      </c>
      <c r="E515" t="s">
        <v>70</v>
      </c>
      <c r="F515">
        <v>4</v>
      </c>
      <c r="G515">
        <v>540000</v>
      </c>
      <c r="H515">
        <v>2160000</v>
      </c>
      <c r="I515" t="s">
        <v>51</v>
      </c>
      <c r="J515" t="s">
        <v>146</v>
      </c>
    </row>
    <row r="516" spans="1:10" x14ac:dyDescent="0.35">
      <c r="A516" t="s">
        <v>642</v>
      </c>
      <c r="B516" s="2">
        <v>46353</v>
      </c>
      <c r="C516" t="s">
        <v>34</v>
      </c>
      <c r="D516" t="s">
        <v>69</v>
      </c>
      <c r="E516" t="s">
        <v>30</v>
      </c>
      <c r="F516">
        <v>2</v>
      </c>
      <c r="G516">
        <v>540000</v>
      </c>
      <c r="H516">
        <v>1080000</v>
      </c>
      <c r="I516" t="s">
        <v>31</v>
      </c>
      <c r="J516" t="s">
        <v>146</v>
      </c>
    </row>
    <row r="517" spans="1:10" x14ac:dyDescent="0.35">
      <c r="A517" t="s">
        <v>643</v>
      </c>
      <c r="B517" s="2">
        <v>46354</v>
      </c>
      <c r="C517" t="s">
        <v>120</v>
      </c>
      <c r="D517" t="s">
        <v>58</v>
      </c>
      <c r="E517" t="s">
        <v>59</v>
      </c>
      <c r="F517">
        <v>5</v>
      </c>
      <c r="G517">
        <v>120000</v>
      </c>
      <c r="H517">
        <v>600000</v>
      </c>
      <c r="I517" t="s">
        <v>51</v>
      </c>
      <c r="J517" t="s">
        <v>122</v>
      </c>
    </row>
    <row r="518" spans="1:10" x14ac:dyDescent="0.35">
      <c r="A518" t="s">
        <v>644</v>
      </c>
      <c r="B518" s="2">
        <v>46355</v>
      </c>
      <c r="C518" t="s">
        <v>53</v>
      </c>
      <c r="D518" t="s">
        <v>269</v>
      </c>
      <c r="E518" t="s">
        <v>55</v>
      </c>
      <c r="F518">
        <v>4</v>
      </c>
      <c r="G518">
        <v>18000</v>
      </c>
      <c r="H518">
        <v>72000</v>
      </c>
      <c r="I518" t="s">
        <v>31</v>
      </c>
      <c r="J518" t="s">
        <v>56</v>
      </c>
    </row>
    <row r="519" spans="1:10" x14ac:dyDescent="0.35">
      <c r="A519" t="s">
        <v>645</v>
      </c>
      <c r="B519" s="2">
        <v>46356</v>
      </c>
      <c r="C519" t="s">
        <v>177</v>
      </c>
      <c r="D519" t="s">
        <v>335</v>
      </c>
      <c r="E519" t="s">
        <v>45</v>
      </c>
      <c r="F519">
        <v>3</v>
      </c>
      <c r="G519">
        <v>365000</v>
      </c>
      <c r="H519">
        <v>1095000</v>
      </c>
      <c r="I519" t="s">
        <v>31</v>
      </c>
      <c r="J519" t="s">
        <v>37</v>
      </c>
    </row>
    <row r="520" spans="1:10" x14ac:dyDescent="0.35">
      <c r="A520" t="s">
        <v>646</v>
      </c>
      <c r="B520" s="2">
        <v>46357</v>
      </c>
      <c r="C520" t="s">
        <v>145</v>
      </c>
      <c r="D520" t="s">
        <v>73</v>
      </c>
      <c r="E520" t="s">
        <v>66</v>
      </c>
      <c r="F520">
        <v>2</v>
      </c>
      <c r="G520">
        <v>28000</v>
      </c>
      <c r="H520">
        <v>56000</v>
      </c>
      <c r="I520" t="s">
        <v>51</v>
      </c>
      <c r="J520" t="s">
        <v>122</v>
      </c>
    </row>
    <row r="521" spans="1:10" x14ac:dyDescent="0.35">
      <c r="A521" t="s">
        <v>647</v>
      </c>
      <c r="B521" s="2">
        <v>46358</v>
      </c>
      <c r="C521" t="s">
        <v>177</v>
      </c>
      <c r="D521" t="s">
        <v>410</v>
      </c>
      <c r="E521" t="s">
        <v>30</v>
      </c>
      <c r="F521">
        <v>2</v>
      </c>
      <c r="G521">
        <v>95000</v>
      </c>
      <c r="H521">
        <v>190000</v>
      </c>
      <c r="I521" t="s">
        <v>51</v>
      </c>
      <c r="J521" t="s">
        <v>146</v>
      </c>
    </row>
    <row r="522" spans="1:10" x14ac:dyDescent="0.35">
      <c r="A522" t="s">
        <v>648</v>
      </c>
      <c r="B522" s="2">
        <v>46359</v>
      </c>
      <c r="C522" t="s">
        <v>106</v>
      </c>
      <c r="D522" t="s">
        <v>127</v>
      </c>
      <c r="E522" t="s">
        <v>41</v>
      </c>
      <c r="F522">
        <v>5</v>
      </c>
      <c r="G522">
        <v>365000</v>
      </c>
      <c r="H522">
        <v>1825000</v>
      </c>
      <c r="I522" t="s">
        <v>36</v>
      </c>
      <c r="J522" t="s">
        <v>146</v>
      </c>
    </row>
    <row r="523" spans="1:10" x14ac:dyDescent="0.35">
      <c r="A523" t="s">
        <v>649</v>
      </c>
      <c r="B523" s="2">
        <v>46360</v>
      </c>
      <c r="C523" t="s">
        <v>72</v>
      </c>
      <c r="D523" t="s">
        <v>103</v>
      </c>
      <c r="E523" t="s">
        <v>66</v>
      </c>
      <c r="F523">
        <v>1</v>
      </c>
      <c r="G523">
        <v>68000</v>
      </c>
      <c r="H523">
        <v>68000</v>
      </c>
      <c r="I523" t="s">
        <v>36</v>
      </c>
      <c r="J523" t="s">
        <v>146</v>
      </c>
    </row>
    <row r="524" spans="1:10" x14ac:dyDescent="0.35">
      <c r="A524" t="s">
        <v>650</v>
      </c>
      <c r="B524" s="2">
        <v>46361</v>
      </c>
      <c r="C524" t="s">
        <v>75</v>
      </c>
      <c r="D524" t="s">
        <v>98</v>
      </c>
      <c r="E524" t="s">
        <v>95</v>
      </c>
      <c r="F524">
        <v>3</v>
      </c>
      <c r="G524">
        <v>45000</v>
      </c>
      <c r="H524">
        <v>135000</v>
      </c>
      <c r="I524" t="s">
        <v>51</v>
      </c>
      <c r="J524" t="s">
        <v>60</v>
      </c>
    </row>
    <row r="525" spans="1:10" x14ac:dyDescent="0.35">
      <c r="A525" t="s">
        <v>651</v>
      </c>
      <c r="B525" s="2">
        <v>46362</v>
      </c>
      <c r="C525" t="s">
        <v>43</v>
      </c>
      <c r="D525" t="s">
        <v>183</v>
      </c>
      <c r="E525" t="s">
        <v>35</v>
      </c>
      <c r="F525">
        <v>5</v>
      </c>
      <c r="G525">
        <v>185000</v>
      </c>
      <c r="H525">
        <v>925000</v>
      </c>
      <c r="I525" t="s">
        <v>31</v>
      </c>
      <c r="J525" t="s">
        <v>56</v>
      </c>
    </row>
    <row r="526" spans="1:10" x14ac:dyDescent="0.35">
      <c r="A526" t="s">
        <v>652</v>
      </c>
      <c r="B526" s="2">
        <v>46363</v>
      </c>
      <c r="C526" t="s">
        <v>117</v>
      </c>
      <c r="D526" t="s">
        <v>44</v>
      </c>
      <c r="E526" t="s">
        <v>41</v>
      </c>
      <c r="F526">
        <v>3</v>
      </c>
      <c r="G526">
        <v>120000</v>
      </c>
      <c r="H526">
        <v>360000</v>
      </c>
      <c r="I526" t="s">
        <v>31</v>
      </c>
      <c r="J526" t="s">
        <v>84</v>
      </c>
    </row>
    <row r="527" spans="1:10" x14ac:dyDescent="0.35">
      <c r="A527" t="s">
        <v>653</v>
      </c>
      <c r="B527" s="2">
        <v>46364</v>
      </c>
      <c r="C527" t="s">
        <v>102</v>
      </c>
      <c r="D527" t="s">
        <v>92</v>
      </c>
      <c r="E527" t="s">
        <v>66</v>
      </c>
      <c r="F527">
        <v>1</v>
      </c>
      <c r="G527">
        <v>280000</v>
      </c>
      <c r="H527">
        <v>280000</v>
      </c>
      <c r="I527" t="s">
        <v>31</v>
      </c>
      <c r="J527" t="s">
        <v>84</v>
      </c>
    </row>
    <row r="528" spans="1:10" x14ac:dyDescent="0.35">
      <c r="A528" t="s">
        <v>654</v>
      </c>
      <c r="B528" s="2">
        <v>46365</v>
      </c>
      <c r="C528" t="s">
        <v>102</v>
      </c>
      <c r="D528" t="s">
        <v>44</v>
      </c>
      <c r="E528" t="s">
        <v>95</v>
      </c>
      <c r="F528">
        <v>1</v>
      </c>
      <c r="G528">
        <v>45000</v>
      </c>
      <c r="H528">
        <v>45000</v>
      </c>
      <c r="I528" t="s">
        <v>31</v>
      </c>
      <c r="J528" t="s">
        <v>122</v>
      </c>
    </row>
    <row r="529" spans="1:10" x14ac:dyDescent="0.35">
      <c r="A529" t="s">
        <v>655</v>
      </c>
      <c r="B529" s="2">
        <v>46366</v>
      </c>
      <c r="C529" t="s">
        <v>75</v>
      </c>
      <c r="D529" t="s">
        <v>139</v>
      </c>
      <c r="E529" t="s">
        <v>66</v>
      </c>
      <c r="F529">
        <v>5</v>
      </c>
      <c r="G529">
        <v>95000</v>
      </c>
      <c r="H529">
        <v>475000</v>
      </c>
      <c r="I529" t="s">
        <v>31</v>
      </c>
      <c r="J529" t="s">
        <v>146</v>
      </c>
    </row>
    <row r="530" spans="1:10" x14ac:dyDescent="0.35">
      <c r="A530" t="s">
        <v>656</v>
      </c>
      <c r="B530" s="2">
        <v>46367</v>
      </c>
      <c r="C530" t="s">
        <v>97</v>
      </c>
      <c r="D530" t="s">
        <v>100</v>
      </c>
      <c r="E530" t="s">
        <v>35</v>
      </c>
      <c r="F530">
        <v>1</v>
      </c>
      <c r="G530">
        <v>540000</v>
      </c>
      <c r="H530">
        <v>540000</v>
      </c>
      <c r="I530" t="s">
        <v>36</v>
      </c>
      <c r="J530" t="s">
        <v>84</v>
      </c>
    </row>
    <row r="531" spans="1:10" x14ac:dyDescent="0.35">
      <c r="A531" t="s">
        <v>657</v>
      </c>
      <c r="B531" s="2">
        <v>46368</v>
      </c>
      <c r="C531" t="s">
        <v>72</v>
      </c>
      <c r="D531" t="s">
        <v>29</v>
      </c>
      <c r="E531" t="s">
        <v>95</v>
      </c>
      <c r="F531">
        <v>4</v>
      </c>
      <c r="G531">
        <v>68000</v>
      </c>
      <c r="H531">
        <v>272000</v>
      </c>
      <c r="I531" t="s">
        <v>51</v>
      </c>
      <c r="J531" t="s">
        <v>32</v>
      </c>
    </row>
    <row r="532" spans="1:10" x14ac:dyDescent="0.35">
      <c r="A532" t="s">
        <v>658</v>
      </c>
      <c r="B532" s="2">
        <v>46369</v>
      </c>
      <c r="C532" t="s">
        <v>131</v>
      </c>
      <c r="D532" t="s">
        <v>127</v>
      </c>
      <c r="E532" t="s">
        <v>59</v>
      </c>
      <c r="F532">
        <v>2</v>
      </c>
      <c r="G532">
        <v>68000</v>
      </c>
      <c r="H532">
        <v>136000</v>
      </c>
      <c r="I532" t="s">
        <v>36</v>
      </c>
      <c r="J532" t="s">
        <v>56</v>
      </c>
    </row>
    <row r="533" spans="1:10" x14ac:dyDescent="0.35">
      <c r="A533" t="s">
        <v>659</v>
      </c>
      <c r="B533" s="2">
        <v>46370</v>
      </c>
      <c r="C533" t="s">
        <v>68</v>
      </c>
      <c r="D533" t="s">
        <v>92</v>
      </c>
      <c r="E533" t="s">
        <v>30</v>
      </c>
      <c r="F533">
        <v>5</v>
      </c>
      <c r="G533">
        <v>68000</v>
      </c>
      <c r="H533">
        <v>340000</v>
      </c>
      <c r="I533" t="s">
        <v>31</v>
      </c>
      <c r="J533" t="s">
        <v>84</v>
      </c>
    </row>
    <row r="534" spans="1:10" x14ac:dyDescent="0.35">
      <c r="A534" t="s">
        <v>660</v>
      </c>
      <c r="B534" s="2">
        <v>46371</v>
      </c>
      <c r="C534" t="s">
        <v>109</v>
      </c>
      <c r="D534" t="s">
        <v>80</v>
      </c>
      <c r="E534" t="s">
        <v>50</v>
      </c>
      <c r="F534">
        <v>3</v>
      </c>
      <c r="G534">
        <v>540000</v>
      </c>
      <c r="H534">
        <v>1620000</v>
      </c>
      <c r="I534" t="s">
        <v>31</v>
      </c>
      <c r="J534" t="s">
        <v>37</v>
      </c>
    </row>
    <row r="535" spans="1:10" x14ac:dyDescent="0.35">
      <c r="A535" t="s">
        <v>661</v>
      </c>
      <c r="B535" s="2">
        <v>46372</v>
      </c>
      <c r="C535" t="s">
        <v>39</v>
      </c>
      <c r="D535" t="s">
        <v>208</v>
      </c>
      <c r="E535" t="s">
        <v>45</v>
      </c>
      <c r="F535">
        <v>4</v>
      </c>
      <c r="G535">
        <v>280000</v>
      </c>
      <c r="H535">
        <v>1120000</v>
      </c>
      <c r="I535" t="s">
        <v>31</v>
      </c>
      <c r="J535" t="s">
        <v>56</v>
      </c>
    </row>
    <row r="536" spans="1:10" x14ac:dyDescent="0.35">
      <c r="A536" t="s">
        <v>662</v>
      </c>
      <c r="B536" s="2">
        <v>46373</v>
      </c>
      <c r="C536" t="s">
        <v>97</v>
      </c>
      <c r="D536" t="s">
        <v>127</v>
      </c>
      <c r="E536" t="s">
        <v>70</v>
      </c>
      <c r="F536">
        <v>5</v>
      </c>
      <c r="G536">
        <v>120000</v>
      </c>
      <c r="H536">
        <v>600000</v>
      </c>
      <c r="I536" t="s">
        <v>31</v>
      </c>
      <c r="J536" t="s">
        <v>37</v>
      </c>
    </row>
    <row r="537" spans="1:10" x14ac:dyDescent="0.35">
      <c r="A537" t="s">
        <v>663</v>
      </c>
      <c r="B537" s="2">
        <v>46374</v>
      </c>
      <c r="C537" t="s">
        <v>68</v>
      </c>
      <c r="D537" t="s">
        <v>49</v>
      </c>
      <c r="E537" t="s">
        <v>45</v>
      </c>
      <c r="F537">
        <v>1</v>
      </c>
      <c r="G537">
        <v>45000</v>
      </c>
      <c r="H537">
        <v>45000</v>
      </c>
      <c r="I537" t="s">
        <v>51</v>
      </c>
      <c r="J537" t="s">
        <v>84</v>
      </c>
    </row>
    <row r="538" spans="1:10" x14ac:dyDescent="0.35">
      <c r="A538" t="s">
        <v>664</v>
      </c>
      <c r="B538" s="2">
        <v>46375</v>
      </c>
      <c r="C538" t="s">
        <v>68</v>
      </c>
      <c r="D538" t="s">
        <v>183</v>
      </c>
      <c r="E538" t="s">
        <v>41</v>
      </c>
      <c r="F538">
        <v>1</v>
      </c>
      <c r="G538">
        <v>540000</v>
      </c>
      <c r="H538">
        <v>540000</v>
      </c>
      <c r="I538" t="s">
        <v>31</v>
      </c>
      <c r="J538" t="s">
        <v>32</v>
      </c>
    </row>
    <row r="539" spans="1:10" x14ac:dyDescent="0.35">
      <c r="A539" t="s">
        <v>665</v>
      </c>
      <c r="B539" s="2">
        <v>46376</v>
      </c>
      <c r="C539" t="s">
        <v>97</v>
      </c>
      <c r="D539" t="s">
        <v>143</v>
      </c>
      <c r="E539" t="s">
        <v>45</v>
      </c>
      <c r="F539">
        <v>1</v>
      </c>
      <c r="G539">
        <v>95000</v>
      </c>
      <c r="H539">
        <v>95000</v>
      </c>
      <c r="I539" t="s">
        <v>51</v>
      </c>
      <c r="J539" t="s">
        <v>37</v>
      </c>
    </row>
    <row r="540" spans="1:10" x14ac:dyDescent="0.35">
      <c r="A540" t="s">
        <v>666</v>
      </c>
      <c r="B540" s="2">
        <v>46377</v>
      </c>
      <c r="C540" t="s">
        <v>133</v>
      </c>
      <c r="D540" t="s">
        <v>246</v>
      </c>
      <c r="E540" t="s">
        <v>95</v>
      </c>
      <c r="F540">
        <v>1</v>
      </c>
      <c r="G540">
        <v>120000</v>
      </c>
      <c r="H540">
        <v>120000</v>
      </c>
      <c r="I540" t="s">
        <v>31</v>
      </c>
      <c r="J540" t="s">
        <v>60</v>
      </c>
    </row>
    <row r="541" spans="1:10" x14ac:dyDescent="0.35">
      <c r="A541" t="s">
        <v>667</v>
      </c>
      <c r="B541" s="2">
        <v>46378</v>
      </c>
      <c r="C541" t="s">
        <v>34</v>
      </c>
      <c r="D541" t="s">
        <v>58</v>
      </c>
      <c r="E541" t="s">
        <v>59</v>
      </c>
      <c r="F541">
        <v>3</v>
      </c>
      <c r="G541">
        <v>95000</v>
      </c>
      <c r="H541">
        <v>285000</v>
      </c>
      <c r="I541" t="s">
        <v>51</v>
      </c>
      <c r="J541" t="s">
        <v>84</v>
      </c>
    </row>
    <row r="542" spans="1:10" x14ac:dyDescent="0.35">
      <c r="A542" t="s">
        <v>668</v>
      </c>
      <c r="B542" s="2">
        <v>46379</v>
      </c>
      <c r="C542" t="s">
        <v>138</v>
      </c>
      <c r="D542" t="s">
        <v>269</v>
      </c>
      <c r="E542" t="s">
        <v>50</v>
      </c>
      <c r="F542">
        <v>4</v>
      </c>
      <c r="G542">
        <v>120000</v>
      </c>
      <c r="H542">
        <v>480000</v>
      </c>
      <c r="I542" t="s">
        <v>36</v>
      </c>
      <c r="J542" t="s">
        <v>60</v>
      </c>
    </row>
    <row r="543" spans="1:10" x14ac:dyDescent="0.35">
      <c r="A543" t="s">
        <v>669</v>
      </c>
      <c r="B543" s="2">
        <v>46380</v>
      </c>
      <c r="C543" t="s">
        <v>112</v>
      </c>
      <c r="D543" t="s">
        <v>69</v>
      </c>
      <c r="E543" t="s">
        <v>30</v>
      </c>
      <c r="F543">
        <v>2</v>
      </c>
      <c r="G543">
        <v>280000</v>
      </c>
      <c r="H543">
        <v>560000</v>
      </c>
      <c r="I543" t="s">
        <v>31</v>
      </c>
      <c r="J543" t="s">
        <v>84</v>
      </c>
    </row>
    <row r="544" spans="1:10" x14ac:dyDescent="0.35">
      <c r="A544" t="s">
        <v>670</v>
      </c>
      <c r="B544" s="2">
        <v>46381</v>
      </c>
      <c r="C544" t="s">
        <v>43</v>
      </c>
      <c r="D544" t="s">
        <v>175</v>
      </c>
      <c r="E544" t="s">
        <v>30</v>
      </c>
      <c r="F544">
        <v>3</v>
      </c>
      <c r="G544">
        <v>185000</v>
      </c>
      <c r="H544">
        <v>555000</v>
      </c>
      <c r="I544" t="s">
        <v>51</v>
      </c>
      <c r="J544" t="s">
        <v>46</v>
      </c>
    </row>
    <row r="545" spans="1:10" x14ac:dyDescent="0.35">
      <c r="A545" t="s">
        <v>671</v>
      </c>
      <c r="B545" s="2">
        <v>46382</v>
      </c>
      <c r="C545" t="s">
        <v>97</v>
      </c>
      <c r="D545" t="s">
        <v>69</v>
      </c>
      <c r="E545" t="s">
        <v>35</v>
      </c>
      <c r="F545">
        <v>3</v>
      </c>
      <c r="G545">
        <v>95000</v>
      </c>
      <c r="H545">
        <v>285000</v>
      </c>
      <c r="I545" t="s">
        <v>36</v>
      </c>
      <c r="J545" t="s">
        <v>46</v>
      </c>
    </row>
    <row r="546" spans="1:10" x14ac:dyDescent="0.35">
      <c r="A546" t="s">
        <v>672</v>
      </c>
      <c r="B546" s="2">
        <v>46383</v>
      </c>
      <c r="C546" t="s">
        <v>48</v>
      </c>
      <c r="D546" t="s">
        <v>139</v>
      </c>
      <c r="E546" t="s">
        <v>70</v>
      </c>
      <c r="F546">
        <v>2</v>
      </c>
      <c r="G546">
        <v>540000</v>
      </c>
      <c r="H546">
        <v>1080000</v>
      </c>
      <c r="I546" t="s">
        <v>31</v>
      </c>
      <c r="J546" t="s">
        <v>46</v>
      </c>
    </row>
    <row r="547" spans="1:10" x14ac:dyDescent="0.35">
      <c r="A547" t="s">
        <v>673</v>
      </c>
      <c r="B547" s="2">
        <v>46384</v>
      </c>
      <c r="C547" t="s">
        <v>117</v>
      </c>
      <c r="D547" t="s">
        <v>121</v>
      </c>
      <c r="E547" t="s">
        <v>66</v>
      </c>
      <c r="F547">
        <v>2</v>
      </c>
      <c r="G547">
        <v>120000</v>
      </c>
      <c r="H547">
        <v>240000</v>
      </c>
      <c r="I547" t="s">
        <v>31</v>
      </c>
      <c r="J547" t="s">
        <v>37</v>
      </c>
    </row>
    <row r="548" spans="1:10" x14ac:dyDescent="0.35">
      <c r="A548" t="s">
        <v>674</v>
      </c>
      <c r="B548" s="2">
        <v>46385</v>
      </c>
      <c r="C548" t="s">
        <v>161</v>
      </c>
      <c r="D548" t="s">
        <v>69</v>
      </c>
      <c r="E548" t="s">
        <v>59</v>
      </c>
      <c r="F548">
        <v>1</v>
      </c>
      <c r="G548">
        <v>68000</v>
      </c>
      <c r="H548">
        <v>68000</v>
      </c>
      <c r="I548" t="s">
        <v>31</v>
      </c>
      <c r="J548" t="s">
        <v>60</v>
      </c>
    </row>
    <row r="549" spans="1:10" x14ac:dyDescent="0.35">
      <c r="A549" t="s">
        <v>675</v>
      </c>
      <c r="B549" s="2">
        <v>46386</v>
      </c>
      <c r="C549" t="s">
        <v>120</v>
      </c>
      <c r="D549" t="s">
        <v>239</v>
      </c>
      <c r="E549" t="s">
        <v>66</v>
      </c>
      <c r="F549">
        <v>3</v>
      </c>
      <c r="G549">
        <v>365000</v>
      </c>
      <c r="H549">
        <v>1095000</v>
      </c>
      <c r="I549" t="s">
        <v>51</v>
      </c>
      <c r="J549" t="s">
        <v>60</v>
      </c>
    </row>
    <row r="550" spans="1:10" x14ac:dyDescent="0.35">
      <c r="A550" t="s">
        <v>676</v>
      </c>
      <c r="B550" s="2">
        <v>46387</v>
      </c>
      <c r="C550" t="s">
        <v>53</v>
      </c>
      <c r="D550" t="s">
        <v>76</v>
      </c>
      <c r="E550" t="s">
        <v>50</v>
      </c>
      <c r="F550">
        <v>5</v>
      </c>
      <c r="G550">
        <v>68000</v>
      </c>
      <c r="H550">
        <v>340000</v>
      </c>
      <c r="I550" t="s">
        <v>51</v>
      </c>
      <c r="J550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550D-16B0-4D74-A7C0-3C8F81D8143C}">
  <dimension ref="A1:P558"/>
  <sheetViews>
    <sheetView tabSelected="1" topLeftCell="D1" workbookViewId="0">
      <selection activeCell="N1" sqref="N1"/>
    </sheetView>
  </sheetViews>
  <sheetFormatPr defaultRowHeight="14.5" x14ac:dyDescent="0.35"/>
  <cols>
    <col min="1" max="1" width="9.453125" customWidth="1"/>
    <col min="2" max="3" width="11.54296875" customWidth="1"/>
    <col min="4" max="4" width="12.81640625" customWidth="1"/>
    <col min="5" max="5" width="11.1796875" customWidth="1"/>
    <col min="6" max="6" width="16.36328125" bestFit="1" customWidth="1"/>
    <col min="7" max="7" width="10" customWidth="1"/>
    <col min="8" max="8" width="13.81640625" customWidth="1"/>
    <col min="9" max="9" width="17" customWidth="1"/>
    <col min="10" max="10" width="16.81640625" customWidth="1"/>
    <col min="11" max="11" width="8.54296875" bestFit="1" customWidth="1"/>
    <col min="13" max="13" width="29" customWidth="1"/>
    <col min="14" max="14" width="18.81640625" customWidth="1"/>
  </cols>
  <sheetData>
    <row r="1" spans="1:16" x14ac:dyDescent="0.35">
      <c r="A1" t="s">
        <v>19</v>
      </c>
      <c r="B1" t="s">
        <v>20</v>
      </c>
      <c r="C1" t="s">
        <v>712</v>
      </c>
      <c r="D1" t="s">
        <v>21</v>
      </c>
      <c r="E1" t="s">
        <v>22</v>
      </c>
      <c r="F1" t="s">
        <v>23</v>
      </c>
      <c r="G1" t="s">
        <v>24</v>
      </c>
      <c r="H1" t="s">
        <v>677</v>
      </c>
      <c r="I1" t="s">
        <v>678</v>
      </c>
      <c r="J1" t="s">
        <v>25</v>
      </c>
      <c r="K1" t="s">
        <v>26</v>
      </c>
      <c r="M1" s="14" t="s">
        <v>0</v>
      </c>
      <c r="N1" s="15">
        <f ca="1">TODAY()</f>
        <v>46165</v>
      </c>
    </row>
    <row r="2" spans="1:16" x14ac:dyDescent="0.35">
      <c r="A2" t="s">
        <v>27</v>
      </c>
      <c r="B2" s="2">
        <v>45839</v>
      </c>
      <c r="C2" s="2"/>
      <c r="D2" t="s">
        <v>28</v>
      </c>
      <c r="E2" t="s">
        <v>29</v>
      </c>
      <c r="F2" t="s">
        <v>30</v>
      </c>
      <c r="G2">
        <v>1</v>
      </c>
      <c r="H2">
        <v>540000</v>
      </c>
      <c r="I2">
        <v>540000</v>
      </c>
      <c r="J2" t="s">
        <v>31</v>
      </c>
      <c r="K2" t="s">
        <v>32</v>
      </c>
      <c r="M2" s="14" t="s">
        <v>706</v>
      </c>
      <c r="N2" s="11">
        <f ca="1">SUMIFS($I$2:$I$327,B2:$B$327, TODAY())</f>
        <v>0</v>
      </c>
    </row>
    <row r="3" spans="1:16" x14ac:dyDescent="0.35">
      <c r="A3" t="s">
        <v>33</v>
      </c>
      <c r="B3" s="2">
        <v>45840</v>
      </c>
      <c r="C3" s="2"/>
      <c r="D3" t="s">
        <v>34</v>
      </c>
      <c r="E3" t="s">
        <v>29</v>
      </c>
      <c r="F3" t="s">
        <v>35</v>
      </c>
      <c r="G3">
        <v>1</v>
      </c>
      <c r="H3">
        <v>280000</v>
      </c>
      <c r="I3">
        <v>280000</v>
      </c>
      <c r="J3" t="s">
        <v>36</v>
      </c>
      <c r="K3" t="s">
        <v>37</v>
      </c>
      <c r="M3" s="14" t="s">
        <v>707</v>
      </c>
      <c r="N3" s="11">
        <f ca="1">SUMIFS($I$2:$I$327,$B$2:$B$327,TODAY()-1)</f>
        <v>475000</v>
      </c>
    </row>
    <row r="4" spans="1:16" x14ac:dyDescent="0.35">
      <c r="A4" t="s">
        <v>38</v>
      </c>
      <c r="B4" s="2">
        <v>45841</v>
      </c>
      <c r="C4" s="2"/>
      <c r="D4" t="s">
        <v>39</v>
      </c>
      <c r="E4" t="s">
        <v>40</v>
      </c>
      <c r="F4" t="s">
        <v>41</v>
      </c>
      <c r="G4">
        <v>5</v>
      </c>
      <c r="H4">
        <v>28000</v>
      </c>
      <c r="I4">
        <v>140000</v>
      </c>
      <c r="J4" t="s">
        <v>36</v>
      </c>
      <c r="K4" t="s">
        <v>37</v>
      </c>
      <c r="M4" s="14" t="s">
        <v>6</v>
      </c>
      <c r="N4" s="11">
        <f ca="1">SUMIFS($I$2:$I$327,$B$2:$B$327,"&gt;="&amp;EOMONTH(TODAY(),-1)+1,$B$2:$B$327,"&lt;="&amp;EOMONTH(TODAY(),0))</f>
        <v>9743000</v>
      </c>
    </row>
    <row r="5" spans="1:16" x14ac:dyDescent="0.35">
      <c r="A5" t="s">
        <v>42</v>
      </c>
      <c r="B5" s="2">
        <v>45842</v>
      </c>
      <c r="C5" s="2"/>
      <c r="D5" t="s">
        <v>43</v>
      </c>
      <c r="E5" t="s">
        <v>44</v>
      </c>
      <c r="F5" t="s">
        <v>45</v>
      </c>
      <c r="G5">
        <v>1</v>
      </c>
      <c r="H5">
        <v>120000</v>
      </c>
      <c r="I5">
        <v>120000</v>
      </c>
      <c r="J5" t="s">
        <v>31</v>
      </c>
      <c r="K5" t="s">
        <v>46</v>
      </c>
      <c r="M5" s="14" t="s">
        <v>708</v>
      </c>
      <c r="N5">
        <f ca="1">SUMIFS($G$2:$G$327,$B$2:$B$327, TODAY())</f>
        <v>0</v>
      </c>
    </row>
    <row r="6" spans="1:16" x14ac:dyDescent="0.35">
      <c r="A6" t="s">
        <v>47</v>
      </c>
      <c r="B6" s="2">
        <v>45843</v>
      </c>
      <c r="C6" s="2"/>
      <c r="D6" t="s">
        <v>48</v>
      </c>
      <c r="E6" t="s">
        <v>49</v>
      </c>
      <c r="F6" t="s">
        <v>50</v>
      </c>
      <c r="G6">
        <v>1</v>
      </c>
      <c r="H6">
        <v>95000</v>
      </c>
      <c r="I6">
        <v>95000</v>
      </c>
      <c r="J6" t="s">
        <v>51</v>
      </c>
      <c r="K6" t="s">
        <v>46</v>
      </c>
      <c r="M6" s="14" t="s">
        <v>709</v>
      </c>
      <c r="N6">
        <f ca="1">SUMIFS($G$2:$G$327,$B$2:$B$327, "&gt;=" &amp;EOMONTH(TODAY(),-1)+1, B2:$B$327, "&lt;=" &amp;EOMONTH(TODAY(),0))</f>
        <v>71</v>
      </c>
    </row>
    <row r="7" spans="1:16" x14ac:dyDescent="0.35">
      <c r="A7" t="s">
        <v>52</v>
      </c>
      <c r="B7" s="2">
        <v>45844</v>
      </c>
      <c r="C7" s="2"/>
      <c r="D7" t="s">
        <v>53</v>
      </c>
      <c r="E7" t="s">
        <v>54</v>
      </c>
      <c r="F7" t="s">
        <v>55</v>
      </c>
      <c r="G7">
        <v>1</v>
      </c>
      <c r="H7">
        <v>540000</v>
      </c>
      <c r="I7">
        <v>540000</v>
      </c>
      <c r="J7" t="s">
        <v>36</v>
      </c>
      <c r="K7" t="s">
        <v>56</v>
      </c>
      <c r="M7" s="14" t="s">
        <v>711</v>
      </c>
      <c r="N7" s="11">
        <f ca="1">SUMIFS($I$2:$I$327,$B$2:$B$327, "&gt;=" &amp;EOMONTH(TODAY(),-2)+1, $B$2:$B$327, "&lt;=" &amp;EOMONTH(TODAY(),-1))</f>
        <v>10560000</v>
      </c>
    </row>
    <row r="8" spans="1:16" x14ac:dyDescent="0.35">
      <c r="A8" t="s">
        <v>57</v>
      </c>
      <c r="B8" s="2">
        <v>45845</v>
      </c>
      <c r="C8" s="2"/>
      <c r="D8" t="s">
        <v>39</v>
      </c>
      <c r="E8" t="s">
        <v>58</v>
      </c>
      <c r="F8" t="s">
        <v>59</v>
      </c>
      <c r="G8">
        <v>4</v>
      </c>
      <c r="H8">
        <v>365000</v>
      </c>
      <c r="I8">
        <v>1460000</v>
      </c>
      <c r="J8" t="s">
        <v>31</v>
      </c>
      <c r="K8" t="s">
        <v>60</v>
      </c>
      <c r="M8" s="14" t="s">
        <v>710</v>
      </c>
      <c r="N8" s="9">
        <f ca="1">(N4-N7)/N7</f>
        <v>-7.7367424242424238E-2</v>
      </c>
    </row>
    <row r="9" spans="1:16" x14ac:dyDescent="0.35">
      <c r="A9" t="s">
        <v>61</v>
      </c>
      <c r="B9" s="2">
        <v>45846</v>
      </c>
      <c r="C9" s="2"/>
      <c r="D9" t="s">
        <v>62</v>
      </c>
      <c r="E9" t="s">
        <v>63</v>
      </c>
      <c r="F9" t="s">
        <v>41</v>
      </c>
      <c r="G9">
        <v>4</v>
      </c>
      <c r="H9">
        <v>95000</v>
      </c>
      <c r="I9">
        <v>380000</v>
      </c>
      <c r="J9" t="s">
        <v>51</v>
      </c>
      <c r="K9" t="s">
        <v>46</v>
      </c>
      <c r="M9" s="14" t="s">
        <v>713</v>
      </c>
      <c r="N9" s="12">
        <f ca="1">SUMIFS($I$2:$I$327, B2:B327, "&gt;=" &amp; DATE(YEAR(TODAY()),1,1), $B$2:$B$327, "&lt;=" &amp;TODAY())</f>
        <v>55982000</v>
      </c>
    </row>
    <row r="10" spans="1:16" x14ac:dyDescent="0.35">
      <c r="A10" t="s">
        <v>64</v>
      </c>
      <c r="B10" s="2">
        <v>45847</v>
      </c>
      <c r="C10" s="2"/>
      <c r="D10" t="s">
        <v>28</v>
      </c>
      <c r="E10" t="s">
        <v>65</v>
      </c>
      <c r="F10" t="s">
        <v>66</v>
      </c>
      <c r="G10">
        <v>3</v>
      </c>
      <c r="H10">
        <v>28000</v>
      </c>
      <c r="I10">
        <v>84000</v>
      </c>
      <c r="J10" t="s">
        <v>36</v>
      </c>
      <c r="K10" t="s">
        <v>46</v>
      </c>
      <c r="M10" s="14" t="s">
        <v>714</v>
      </c>
      <c r="N10" s="11">
        <f ca="1">SUMIFS($I$2:$I$327, B2:B327, "&gt;=" &amp; DATE(YEAR(TODAY())-1,1,1), $B$2:$B$327, "&lt;=" &amp; DATE(YEAR(TODAY())-1, 12,31))</f>
        <v>94059000</v>
      </c>
    </row>
    <row r="11" spans="1:16" x14ac:dyDescent="0.35">
      <c r="A11" t="s">
        <v>67</v>
      </c>
      <c r="B11" s="2">
        <v>45848</v>
      </c>
      <c r="C11" s="2"/>
      <c r="D11" t="s">
        <v>68</v>
      </c>
      <c r="E11" t="s">
        <v>69</v>
      </c>
      <c r="F11" t="s">
        <v>70</v>
      </c>
      <c r="G11">
        <v>2</v>
      </c>
      <c r="H11">
        <v>95000</v>
      </c>
      <c r="I11">
        <v>190000</v>
      </c>
      <c r="J11" t="s">
        <v>51</v>
      </c>
      <c r="K11" t="s">
        <v>46</v>
      </c>
      <c r="M11" s="14" t="s">
        <v>715</v>
      </c>
      <c r="N11" s="9">
        <f ca="1">(N9-N10)/N10</f>
        <v>-0.40482037869847648</v>
      </c>
    </row>
    <row r="12" spans="1:16" x14ac:dyDescent="0.35">
      <c r="A12" t="s">
        <v>71</v>
      </c>
      <c r="B12" s="2">
        <v>45849</v>
      </c>
      <c r="C12" s="2"/>
      <c r="D12" t="s">
        <v>72</v>
      </c>
      <c r="E12" t="s">
        <v>73</v>
      </c>
      <c r="F12" t="s">
        <v>55</v>
      </c>
      <c r="G12">
        <v>5</v>
      </c>
      <c r="H12">
        <v>68000</v>
      </c>
      <c r="I12">
        <v>340000</v>
      </c>
      <c r="J12" t="s">
        <v>51</v>
      </c>
      <c r="K12" t="s">
        <v>56</v>
      </c>
    </row>
    <row r="13" spans="1:16" x14ac:dyDescent="0.35">
      <c r="A13" t="s">
        <v>74</v>
      </c>
      <c r="B13" s="2">
        <v>45850</v>
      </c>
      <c r="C13" s="2"/>
      <c r="D13" t="s">
        <v>75</v>
      </c>
      <c r="E13" t="s">
        <v>76</v>
      </c>
      <c r="F13" t="s">
        <v>50</v>
      </c>
      <c r="G13">
        <v>5</v>
      </c>
      <c r="H13">
        <v>185000</v>
      </c>
      <c r="I13">
        <v>925000</v>
      </c>
      <c r="J13" t="s">
        <v>51</v>
      </c>
      <c r="K13" t="s">
        <v>60</v>
      </c>
      <c r="P13" t="s">
        <v>716</v>
      </c>
    </row>
    <row r="14" spans="1:16" x14ac:dyDescent="0.35">
      <c r="A14" t="s">
        <v>77</v>
      </c>
      <c r="B14" s="2">
        <v>45851</v>
      </c>
      <c r="C14" s="2"/>
      <c r="D14" t="s">
        <v>48</v>
      </c>
      <c r="E14" t="s">
        <v>78</v>
      </c>
      <c r="F14" t="s">
        <v>45</v>
      </c>
      <c r="G14">
        <v>5</v>
      </c>
      <c r="H14">
        <v>120000</v>
      </c>
      <c r="I14">
        <v>600000</v>
      </c>
      <c r="J14" t="s">
        <v>51</v>
      </c>
      <c r="K14" t="s">
        <v>32</v>
      </c>
    </row>
    <row r="15" spans="1:16" x14ac:dyDescent="0.35">
      <c r="A15" t="s">
        <v>79</v>
      </c>
      <c r="B15" s="2">
        <v>45852</v>
      </c>
      <c r="C15" s="2"/>
      <c r="D15" t="s">
        <v>48</v>
      </c>
      <c r="E15" t="s">
        <v>80</v>
      </c>
      <c r="F15" t="s">
        <v>30</v>
      </c>
      <c r="G15">
        <v>3</v>
      </c>
      <c r="H15">
        <v>28000</v>
      </c>
      <c r="I15">
        <v>84000</v>
      </c>
      <c r="J15" t="s">
        <v>36</v>
      </c>
      <c r="K15" t="s">
        <v>32</v>
      </c>
    </row>
    <row r="16" spans="1:16" x14ac:dyDescent="0.35">
      <c r="A16" t="s">
        <v>81</v>
      </c>
      <c r="B16" s="2">
        <v>45853</v>
      </c>
      <c r="C16" s="2"/>
      <c r="D16" t="s">
        <v>82</v>
      </c>
      <c r="E16" t="s">
        <v>83</v>
      </c>
      <c r="F16" t="s">
        <v>50</v>
      </c>
      <c r="G16">
        <v>4</v>
      </c>
      <c r="H16">
        <v>95000</v>
      </c>
      <c r="I16">
        <v>380000</v>
      </c>
      <c r="J16" t="s">
        <v>36</v>
      </c>
      <c r="K16" t="s">
        <v>84</v>
      </c>
    </row>
    <row r="17" spans="1:11" x14ac:dyDescent="0.35">
      <c r="A17" t="s">
        <v>85</v>
      </c>
      <c r="B17" s="2">
        <v>45854</v>
      </c>
      <c r="C17" s="2"/>
      <c r="D17" t="s">
        <v>62</v>
      </c>
      <c r="E17" t="s">
        <v>86</v>
      </c>
      <c r="F17" t="s">
        <v>55</v>
      </c>
      <c r="G17">
        <v>3</v>
      </c>
      <c r="H17">
        <v>185000</v>
      </c>
      <c r="I17">
        <v>555000</v>
      </c>
      <c r="J17" t="s">
        <v>36</v>
      </c>
      <c r="K17" t="s">
        <v>84</v>
      </c>
    </row>
    <row r="18" spans="1:11" x14ac:dyDescent="0.35">
      <c r="A18" t="s">
        <v>87</v>
      </c>
      <c r="B18" s="2">
        <v>45855</v>
      </c>
      <c r="C18" s="2"/>
      <c r="D18" t="s">
        <v>88</v>
      </c>
      <c r="E18" t="s">
        <v>65</v>
      </c>
      <c r="F18" t="s">
        <v>50</v>
      </c>
      <c r="G18">
        <v>5</v>
      </c>
      <c r="H18">
        <v>185000</v>
      </c>
      <c r="I18">
        <v>925000</v>
      </c>
      <c r="J18" t="s">
        <v>31</v>
      </c>
      <c r="K18" t="s">
        <v>46</v>
      </c>
    </row>
    <row r="19" spans="1:11" x14ac:dyDescent="0.35">
      <c r="A19" t="s">
        <v>89</v>
      </c>
      <c r="B19" s="2">
        <v>45856</v>
      </c>
      <c r="C19" s="2"/>
      <c r="D19" t="s">
        <v>53</v>
      </c>
      <c r="E19" t="s">
        <v>90</v>
      </c>
      <c r="F19" t="s">
        <v>55</v>
      </c>
      <c r="G19">
        <v>2</v>
      </c>
      <c r="H19">
        <v>95000</v>
      </c>
      <c r="I19">
        <v>190000</v>
      </c>
      <c r="J19" t="s">
        <v>36</v>
      </c>
      <c r="K19" t="s">
        <v>84</v>
      </c>
    </row>
    <row r="20" spans="1:11" x14ac:dyDescent="0.35">
      <c r="A20" t="s">
        <v>91</v>
      </c>
      <c r="B20" s="2">
        <v>45857</v>
      </c>
      <c r="C20" s="2"/>
      <c r="D20" t="s">
        <v>82</v>
      </c>
      <c r="E20" t="s">
        <v>92</v>
      </c>
      <c r="F20" t="s">
        <v>55</v>
      </c>
      <c r="G20">
        <v>1</v>
      </c>
      <c r="H20">
        <v>365000</v>
      </c>
      <c r="I20">
        <v>365000</v>
      </c>
      <c r="J20" t="s">
        <v>51</v>
      </c>
      <c r="K20" t="s">
        <v>60</v>
      </c>
    </row>
    <row r="21" spans="1:11" x14ac:dyDescent="0.35">
      <c r="A21" t="s">
        <v>93</v>
      </c>
      <c r="B21" s="2">
        <v>45858</v>
      </c>
      <c r="C21" s="2"/>
      <c r="D21" t="s">
        <v>94</v>
      </c>
      <c r="E21" t="s">
        <v>90</v>
      </c>
      <c r="F21" t="s">
        <v>95</v>
      </c>
      <c r="G21">
        <v>4</v>
      </c>
      <c r="H21">
        <v>68000</v>
      </c>
      <c r="I21">
        <v>272000</v>
      </c>
      <c r="J21" t="s">
        <v>36</v>
      </c>
      <c r="K21" t="s">
        <v>56</v>
      </c>
    </row>
    <row r="22" spans="1:11" x14ac:dyDescent="0.35">
      <c r="A22" t="s">
        <v>96</v>
      </c>
      <c r="B22" s="2">
        <v>45859</v>
      </c>
      <c r="C22" s="2"/>
      <c r="D22" t="s">
        <v>97</v>
      </c>
      <c r="E22" t="s">
        <v>98</v>
      </c>
      <c r="F22" t="s">
        <v>59</v>
      </c>
      <c r="G22">
        <v>4</v>
      </c>
      <c r="H22">
        <v>45000</v>
      </c>
      <c r="I22">
        <v>180000</v>
      </c>
      <c r="J22" t="s">
        <v>51</v>
      </c>
      <c r="K22" t="s">
        <v>32</v>
      </c>
    </row>
    <row r="23" spans="1:11" x14ac:dyDescent="0.35">
      <c r="A23" t="s">
        <v>99</v>
      </c>
      <c r="B23" s="2">
        <v>45860</v>
      </c>
      <c r="C23" s="2"/>
      <c r="D23" t="s">
        <v>62</v>
      </c>
      <c r="E23" t="s">
        <v>100</v>
      </c>
      <c r="F23" t="s">
        <v>70</v>
      </c>
      <c r="G23">
        <v>3</v>
      </c>
      <c r="H23">
        <v>68000</v>
      </c>
      <c r="I23">
        <v>204000</v>
      </c>
      <c r="J23" t="s">
        <v>31</v>
      </c>
      <c r="K23" t="s">
        <v>37</v>
      </c>
    </row>
    <row r="24" spans="1:11" x14ac:dyDescent="0.35">
      <c r="A24" t="s">
        <v>101</v>
      </c>
      <c r="B24" s="2">
        <v>45861</v>
      </c>
      <c r="C24" s="2"/>
      <c r="D24" t="s">
        <v>102</v>
      </c>
      <c r="E24" t="s">
        <v>103</v>
      </c>
      <c r="F24" t="s">
        <v>95</v>
      </c>
      <c r="G24">
        <v>4</v>
      </c>
      <c r="H24">
        <v>95000</v>
      </c>
      <c r="I24">
        <v>380000</v>
      </c>
      <c r="J24" t="s">
        <v>51</v>
      </c>
      <c r="K24" t="s">
        <v>32</v>
      </c>
    </row>
    <row r="25" spans="1:11" x14ac:dyDescent="0.35">
      <c r="A25" t="s">
        <v>104</v>
      </c>
      <c r="B25" s="2">
        <v>45862</v>
      </c>
      <c r="C25" s="2"/>
      <c r="D25" t="s">
        <v>82</v>
      </c>
      <c r="E25" t="s">
        <v>100</v>
      </c>
      <c r="F25" t="s">
        <v>45</v>
      </c>
      <c r="G25">
        <v>5</v>
      </c>
      <c r="H25">
        <v>120000</v>
      </c>
      <c r="I25">
        <v>600000</v>
      </c>
      <c r="J25" t="s">
        <v>51</v>
      </c>
      <c r="K25" t="s">
        <v>32</v>
      </c>
    </row>
    <row r="26" spans="1:11" x14ac:dyDescent="0.35">
      <c r="A26" t="s">
        <v>105</v>
      </c>
      <c r="B26" s="2">
        <v>45863</v>
      </c>
      <c r="C26" s="2"/>
      <c r="D26" t="s">
        <v>106</v>
      </c>
      <c r="E26" t="s">
        <v>107</v>
      </c>
      <c r="F26" t="s">
        <v>95</v>
      </c>
      <c r="G26">
        <v>5</v>
      </c>
      <c r="H26">
        <v>45000</v>
      </c>
      <c r="I26">
        <v>225000</v>
      </c>
      <c r="J26" t="s">
        <v>51</v>
      </c>
      <c r="K26" t="s">
        <v>60</v>
      </c>
    </row>
    <row r="27" spans="1:11" x14ac:dyDescent="0.35">
      <c r="A27" t="s">
        <v>108</v>
      </c>
      <c r="B27" s="2">
        <v>45864</v>
      </c>
      <c r="C27" s="2"/>
      <c r="D27" t="s">
        <v>109</v>
      </c>
      <c r="E27" t="s">
        <v>110</v>
      </c>
      <c r="F27" t="s">
        <v>35</v>
      </c>
      <c r="G27">
        <v>3</v>
      </c>
      <c r="H27">
        <v>28000</v>
      </c>
      <c r="I27">
        <v>84000</v>
      </c>
      <c r="J27" t="s">
        <v>31</v>
      </c>
      <c r="K27" t="s">
        <v>84</v>
      </c>
    </row>
    <row r="28" spans="1:11" x14ac:dyDescent="0.35">
      <c r="A28" t="s">
        <v>111</v>
      </c>
      <c r="B28" s="2">
        <v>45865</v>
      </c>
      <c r="C28" s="2"/>
      <c r="D28" t="s">
        <v>112</v>
      </c>
      <c r="E28" t="s">
        <v>113</v>
      </c>
      <c r="F28" t="s">
        <v>35</v>
      </c>
      <c r="G28">
        <v>5</v>
      </c>
      <c r="H28">
        <v>68000</v>
      </c>
      <c r="I28">
        <v>340000</v>
      </c>
      <c r="J28" t="s">
        <v>36</v>
      </c>
      <c r="K28" t="s">
        <v>37</v>
      </c>
    </row>
    <row r="29" spans="1:11" x14ac:dyDescent="0.35">
      <c r="A29" t="s">
        <v>114</v>
      </c>
      <c r="B29" s="2">
        <v>45866</v>
      </c>
      <c r="C29" s="2"/>
      <c r="D29" t="s">
        <v>102</v>
      </c>
      <c r="E29" t="s">
        <v>115</v>
      </c>
      <c r="F29" t="s">
        <v>70</v>
      </c>
      <c r="G29">
        <v>2</v>
      </c>
      <c r="H29">
        <v>95000</v>
      </c>
      <c r="I29">
        <v>190000</v>
      </c>
      <c r="J29" t="s">
        <v>36</v>
      </c>
      <c r="K29" t="s">
        <v>60</v>
      </c>
    </row>
    <row r="30" spans="1:11" x14ac:dyDescent="0.35">
      <c r="A30" t="s">
        <v>116</v>
      </c>
      <c r="B30" s="2">
        <v>45867</v>
      </c>
      <c r="C30" s="2"/>
      <c r="D30" t="s">
        <v>117</v>
      </c>
      <c r="E30" t="s">
        <v>115</v>
      </c>
      <c r="F30" t="s">
        <v>50</v>
      </c>
      <c r="G30">
        <v>3</v>
      </c>
      <c r="H30">
        <v>68000</v>
      </c>
      <c r="I30">
        <v>204000</v>
      </c>
      <c r="J30" t="s">
        <v>31</v>
      </c>
      <c r="K30" t="s">
        <v>46</v>
      </c>
    </row>
    <row r="31" spans="1:11" x14ac:dyDescent="0.35">
      <c r="A31" t="s">
        <v>118</v>
      </c>
      <c r="B31" s="2">
        <v>45868</v>
      </c>
      <c r="C31" s="2"/>
      <c r="D31" t="s">
        <v>62</v>
      </c>
      <c r="E31" t="s">
        <v>69</v>
      </c>
      <c r="F31" t="s">
        <v>59</v>
      </c>
      <c r="G31">
        <v>2</v>
      </c>
      <c r="H31">
        <v>45000</v>
      </c>
      <c r="I31">
        <v>90000</v>
      </c>
      <c r="J31" t="s">
        <v>51</v>
      </c>
      <c r="K31" t="s">
        <v>56</v>
      </c>
    </row>
    <row r="32" spans="1:11" x14ac:dyDescent="0.35">
      <c r="A32" t="s">
        <v>119</v>
      </c>
      <c r="B32" s="2">
        <v>45869</v>
      </c>
      <c r="C32" s="2"/>
      <c r="D32" t="s">
        <v>120</v>
      </c>
      <c r="E32" t="s">
        <v>121</v>
      </c>
      <c r="F32" t="s">
        <v>70</v>
      </c>
      <c r="G32">
        <v>1</v>
      </c>
      <c r="H32">
        <v>280000</v>
      </c>
      <c r="I32">
        <v>280000</v>
      </c>
      <c r="J32" t="s">
        <v>36</v>
      </c>
      <c r="K32" t="s">
        <v>122</v>
      </c>
    </row>
    <row r="33" spans="1:11" x14ac:dyDescent="0.35">
      <c r="A33" t="s">
        <v>123</v>
      </c>
      <c r="B33" s="2">
        <v>45870</v>
      </c>
      <c r="C33" s="2"/>
      <c r="D33" t="s">
        <v>106</v>
      </c>
      <c r="E33" t="s">
        <v>63</v>
      </c>
      <c r="F33" t="s">
        <v>55</v>
      </c>
      <c r="G33">
        <v>2</v>
      </c>
      <c r="H33">
        <v>540000</v>
      </c>
      <c r="I33">
        <v>1080000</v>
      </c>
      <c r="J33" t="s">
        <v>31</v>
      </c>
      <c r="K33" t="s">
        <v>32</v>
      </c>
    </row>
    <row r="34" spans="1:11" x14ac:dyDescent="0.35">
      <c r="A34" t="s">
        <v>124</v>
      </c>
      <c r="B34" s="2">
        <v>45871</v>
      </c>
      <c r="C34" s="2"/>
      <c r="D34" t="s">
        <v>68</v>
      </c>
      <c r="E34" t="s">
        <v>125</v>
      </c>
      <c r="F34" t="s">
        <v>66</v>
      </c>
      <c r="G34">
        <v>1</v>
      </c>
      <c r="H34">
        <v>68000</v>
      </c>
      <c r="I34">
        <v>68000</v>
      </c>
      <c r="J34" t="s">
        <v>36</v>
      </c>
      <c r="K34" t="s">
        <v>122</v>
      </c>
    </row>
    <row r="35" spans="1:11" x14ac:dyDescent="0.35">
      <c r="A35" t="s">
        <v>126</v>
      </c>
      <c r="B35" s="2">
        <v>45872</v>
      </c>
      <c r="C35" s="2"/>
      <c r="D35" t="s">
        <v>97</v>
      </c>
      <c r="E35" t="s">
        <v>127</v>
      </c>
      <c r="F35" t="s">
        <v>59</v>
      </c>
      <c r="G35">
        <v>1</v>
      </c>
      <c r="H35">
        <v>28000</v>
      </c>
      <c r="I35">
        <v>28000</v>
      </c>
      <c r="J35" t="s">
        <v>31</v>
      </c>
      <c r="K35" t="s">
        <v>56</v>
      </c>
    </row>
    <row r="36" spans="1:11" x14ac:dyDescent="0.35">
      <c r="A36" t="s">
        <v>128</v>
      </c>
      <c r="B36" s="2">
        <v>45873</v>
      </c>
      <c r="C36" s="2"/>
      <c r="D36" t="s">
        <v>39</v>
      </c>
      <c r="E36" t="s">
        <v>76</v>
      </c>
      <c r="F36" t="s">
        <v>59</v>
      </c>
      <c r="G36">
        <v>2</v>
      </c>
      <c r="H36">
        <v>28000</v>
      </c>
      <c r="I36">
        <v>56000</v>
      </c>
      <c r="J36" t="s">
        <v>51</v>
      </c>
      <c r="K36" t="s">
        <v>56</v>
      </c>
    </row>
    <row r="37" spans="1:11" x14ac:dyDescent="0.35">
      <c r="A37" t="s">
        <v>129</v>
      </c>
      <c r="B37" s="2">
        <v>45874</v>
      </c>
      <c r="C37" s="2"/>
      <c r="D37" t="s">
        <v>106</v>
      </c>
      <c r="E37" t="s">
        <v>58</v>
      </c>
      <c r="F37" t="s">
        <v>55</v>
      </c>
      <c r="G37">
        <v>3</v>
      </c>
      <c r="H37">
        <v>18000</v>
      </c>
      <c r="I37">
        <v>54000</v>
      </c>
      <c r="J37" t="s">
        <v>36</v>
      </c>
      <c r="K37" t="s">
        <v>60</v>
      </c>
    </row>
    <row r="38" spans="1:11" x14ac:dyDescent="0.35">
      <c r="A38" t="s">
        <v>130</v>
      </c>
      <c r="B38" s="2">
        <v>45875</v>
      </c>
      <c r="C38" s="2"/>
      <c r="D38" t="s">
        <v>131</v>
      </c>
      <c r="E38" t="s">
        <v>115</v>
      </c>
      <c r="F38" t="s">
        <v>55</v>
      </c>
      <c r="G38">
        <v>5</v>
      </c>
      <c r="H38">
        <v>68000</v>
      </c>
      <c r="I38">
        <v>340000</v>
      </c>
      <c r="J38" t="s">
        <v>31</v>
      </c>
      <c r="K38" t="s">
        <v>60</v>
      </c>
    </row>
    <row r="39" spans="1:11" x14ac:dyDescent="0.35">
      <c r="A39" t="s">
        <v>132</v>
      </c>
      <c r="B39" s="2">
        <v>45876</v>
      </c>
      <c r="C39" s="2"/>
      <c r="D39" t="s">
        <v>133</v>
      </c>
      <c r="E39" t="s">
        <v>78</v>
      </c>
      <c r="F39" t="s">
        <v>30</v>
      </c>
      <c r="G39">
        <v>5</v>
      </c>
      <c r="H39">
        <v>540000</v>
      </c>
      <c r="I39">
        <v>2700000</v>
      </c>
      <c r="J39" t="s">
        <v>36</v>
      </c>
      <c r="K39" t="s">
        <v>60</v>
      </c>
    </row>
    <row r="40" spans="1:11" x14ac:dyDescent="0.35">
      <c r="A40" t="s">
        <v>134</v>
      </c>
      <c r="B40" s="2">
        <v>45877</v>
      </c>
      <c r="C40" s="2"/>
      <c r="D40" t="s">
        <v>135</v>
      </c>
      <c r="E40" t="s">
        <v>44</v>
      </c>
      <c r="F40" t="s">
        <v>70</v>
      </c>
      <c r="G40">
        <v>1</v>
      </c>
      <c r="H40">
        <v>365000</v>
      </c>
      <c r="I40">
        <v>365000</v>
      </c>
      <c r="J40" t="s">
        <v>36</v>
      </c>
      <c r="K40" t="s">
        <v>122</v>
      </c>
    </row>
    <row r="41" spans="1:11" x14ac:dyDescent="0.35">
      <c r="A41" t="s">
        <v>136</v>
      </c>
      <c r="B41" s="2">
        <v>45878</v>
      </c>
      <c r="C41" s="2"/>
      <c r="D41" t="s">
        <v>135</v>
      </c>
      <c r="E41" t="s">
        <v>40</v>
      </c>
      <c r="F41" t="s">
        <v>55</v>
      </c>
      <c r="G41">
        <v>1</v>
      </c>
      <c r="H41">
        <v>185000</v>
      </c>
      <c r="I41">
        <v>185000</v>
      </c>
      <c r="J41" t="s">
        <v>36</v>
      </c>
      <c r="K41" t="s">
        <v>60</v>
      </c>
    </row>
    <row r="42" spans="1:11" x14ac:dyDescent="0.35">
      <c r="A42" t="s">
        <v>137</v>
      </c>
      <c r="B42" s="2">
        <v>45879</v>
      </c>
      <c r="C42" s="2"/>
      <c r="D42" t="s">
        <v>138</v>
      </c>
      <c r="E42" t="s">
        <v>139</v>
      </c>
      <c r="F42" t="s">
        <v>35</v>
      </c>
      <c r="G42">
        <v>3</v>
      </c>
      <c r="H42">
        <v>540000</v>
      </c>
      <c r="I42">
        <v>1620000</v>
      </c>
      <c r="J42" t="s">
        <v>36</v>
      </c>
      <c r="K42" t="s">
        <v>56</v>
      </c>
    </row>
    <row r="43" spans="1:11" x14ac:dyDescent="0.35">
      <c r="A43" t="s">
        <v>140</v>
      </c>
      <c r="B43" s="2">
        <v>45880</v>
      </c>
      <c r="C43" s="2"/>
      <c r="D43" t="s">
        <v>117</v>
      </c>
      <c r="E43" t="s">
        <v>141</v>
      </c>
      <c r="F43" t="s">
        <v>45</v>
      </c>
      <c r="G43">
        <v>4</v>
      </c>
      <c r="H43">
        <v>185000</v>
      </c>
      <c r="I43">
        <v>740000</v>
      </c>
      <c r="J43" t="s">
        <v>31</v>
      </c>
      <c r="K43" t="s">
        <v>46</v>
      </c>
    </row>
    <row r="44" spans="1:11" x14ac:dyDescent="0.35">
      <c r="A44" t="s">
        <v>142</v>
      </c>
      <c r="B44" s="2">
        <v>45881</v>
      </c>
      <c r="C44" s="2"/>
      <c r="D44" t="s">
        <v>117</v>
      </c>
      <c r="E44" t="s">
        <v>143</v>
      </c>
      <c r="F44" t="s">
        <v>66</v>
      </c>
      <c r="G44">
        <v>2</v>
      </c>
      <c r="H44">
        <v>185000</v>
      </c>
      <c r="I44">
        <v>370000</v>
      </c>
      <c r="J44" t="s">
        <v>51</v>
      </c>
      <c r="K44" t="s">
        <v>60</v>
      </c>
    </row>
    <row r="45" spans="1:11" x14ac:dyDescent="0.35">
      <c r="A45" t="s">
        <v>144</v>
      </c>
      <c r="B45" s="2">
        <v>45882</v>
      </c>
      <c r="C45" s="2"/>
      <c r="D45" t="s">
        <v>145</v>
      </c>
      <c r="E45" t="s">
        <v>113</v>
      </c>
      <c r="F45" t="s">
        <v>70</v>
      </c>
      <c r="G45">
        <v>1</v>
      </c>
      <c r="H45">
        <v>280000</v>
      </c>
      <c r="I45">
        <v>280000</v>
      </c>
      <c r="J45" t="s">
        <v>31</v>
      </c>
      <c r="K45" t="s">
        <v>146</v>
      </c>
    </row>
    <row r="46" spans="1:11" x14ac:dyDescent="0.35">
      <c r="A46" t="s">
        <v>147</v>
      </c>
      <c r="B46" s="2">
        <v>45883</v>
      </c>
      <c r="C46" s="2"/>
      <c r="D46" t="s">
        <v>43</v>
      </c>
      <c r="E46" t="s">
        <v>100</v>
      </c>
      <c r="F46" t="s">
        <v>41</v>
      </c>
      <c r="G46">
        <v>5</v>
      </c>
      <c r="H46">
        <v>18000</v>
      </c>
      <c r="I46">
        <v>90000</v>
      </c>
      <c r="J46" t="s">
        <v>31</v>
      </c>
      <c r="K46" t="s">
        <v>84</v>
      </c>
    </row>
    <row r="47" spans="1:11" x14ac:dyDescent="0.35">
      <c r="A47" t="s">
        <v>148</v>
      </c>
      <c r="B47" s="2">
        <v>45884</v>
      </c>
      <c r="C47" s="2"/>
      <c r="D47" t="s">
        <v>109</v>
      </c>
      <c r="E47" t="s">
        <v>78</v>
      </c>
      <c r="F47" t="s">
        <v>35</v>
      </c>
      <c r="G47">
        <v>3</v>
      </c>
      <c r="H47">
        <v>540000</v>
      </c>
      <c r="I47">
        <v>1620000</v>
      </c>
      <c r="J47" t="s">
        <v>31</v>
      </c>
      <c r="K47" t="s">
        <v>122</v>
      </c>
    </row>
    <row r="48" spans="1:11" x14ac:dyDescent="0.35">
      <c r="A48" t="s">
        <v>149</v>
      </c>
      <c r="B48" s="2">
        <v>45885</v>
      </c>
      <c r="C48" s="2"/>
      <c r="D48" t="s">
        <v>109</v>
      </c>
      <c r="E48" t="s">
        <v>103</v>
      </c>
      <c r="F48" t="s">
        <v>50</v>
      </c>
      <c r="G48">
        <v>2</v>
      </c>
      <c r="H48">
        <v>540000</v>
      </c>
      <c r="I48">
        <v>1080000</v>
      </c>
      <c r="J48" t="s">
        <v>51</v>
      </c>
      <c r="K48" t="s">
        <v>146</v>
      </c>
    </row>
    <row r="49" spans="1:11" x14ac:dyDescent="0.35">
      <c r="A49" t="s">
        <v>150</v>
      </c>
      <c r="B49" s="2">
        <v>45886</v>
      </c>
      <c r="C49" s="2"/>
      <c r="D49" t="s">
        <v>43</v>
      </c>
      <c r="E49" t="s">
        <v>139</v>
      </c>
      <c r="F49" t="s">
        <v>55</v>
      </c>
      <c r="G49">
        <v>3</v>
      </c>
      <c r="H49">
        <v>280000</v>
      </c>
      <c r="I49">
        <v>840000</v>
      </c>
      <c r="J49" t="s">
        <v>36</v>
      </c>
      <c r="K49" t="s">
        <v>60</v>
      </c>
    </row>
    <row r="50" spans="1:11" x14ac:dyDescent="0.35">
      <c r="A50" t="s">
        <v>151</v>
      </c>
      <c r="B50" s="2">
        <v>45887</v>
      </c>
      <c r="C50" s="2"/>
      <c r="D50" t="s">
        <v>109</v>
      </c>
      <c r="E50" t="s">
        <v>141</v>
      </c>
      <c r="F50" t="s">
        <v>41</v>
      </c>
      <c r="G50">
        <v>2</v>
      </c>
      <c r="H50">
        <v>68000</v>
      </c>
      <c r="I50">
        <v>136000</v>
      </c>
      <c r="J50" t="s">
        <v>36</v>
      </c>
      <c r="K50" t="s">
        <v>56</v>
      </c>
    </row>
    <row r="51" spans="1:11" x14ac:dyDescent="0.35">
      <c r="A51" t="s">
        <v>152</v>
      </c>
      <c r="B51" s="2">
        <v>45888</v>
      </c>
      <c r="C51" s="2"/>
      <c r="D51" t="s">
        <v>72</v>
      </c>
      <c r="E51" t="s">
        <v>153</v>
      </c>
      <c r="F51" t="s">
        <v>55</v>
      </c>
      <c r="G51">
        <v>2</v>
      </c>
      <c r="H51">
        <v>68000</v>
      </c>
      <c r="I51">
        <v>136000</v>
      </c>
      <c r="J51" t="s">
        <v>36</v>
      </c>
      <c r="K51" t="s">
        <v>46</v>
      </c>
    </row>
    <row r="52" spans="1:11" x14ac:dyDescent="0.35">
      <c r="A52" t="s">
        <v>154</v>
      </c>
      <c r="B52" s="2">
        <v>45889</v>
      </c>
      <c r="C52" s="2"/>
      <c r="D52" t="s">
        <v>106</v>
      </c>
      <c r="E52" t="s">
        <v>98</v>
      </c>
      <c r="F52" t="s">
        <v>59</v>
      </c>
      <c r="G52">
        <v>1</v>
      </c>
      <c r="H52">
        <v>68000</v>
      </c>
      <c r="I52">
        <v>68000</v>
      </c>
      <c r="J52" t="s">
        <v>51</v>
      </c>
      <c r="K52" t="s">
        <v>32</v>
      </c>
    </row>
    <row r="53" spans="1:11" x14ac:dyDescent="0.35">
      <c r="A53" t="s">
        <v>155</v>
      </c>
      <c r="B53" s="2">
        <v>45890</v>
      </c>
      <c r="C53" s="2"/>
      <c r="D53" t="s">
        <v>75</v>
      </c>
      <c r="E53" t="s">
        <v>40</v>
      </c>
      <c r="F53" t="s">
        <v>35</v>
      </c>
      <c r="G53">
        <v>3</v>
      </c>
      <c r="H53">
        <v>120000</v>
      </c>
      <c r="I53">
        <v>360000</v>
      </c>
      <c r="J53" t="s">
        <v>36</v>
      </c>
      <c r="K53" t="s">
        <v>37</v>
      </c>
    </row>
    <row r="54" spans="1:11" x14ac:dyDescent="0.35">
      <c r="A54" t="s">
        <v>156</v>
      </c>
      <c r="B54" s="2">
        <v>45891</v>
      </c>
      <c r="C54" s="2"/>
      <c r="D54" t="s">
        <v>34</v>
      </c>
      <c r="E54" t="s">
        <v>69</v>
      </c>
      <c r="F54" t="s">
        <v>59</v>
      </c>
      <c r="G54">
        <v>3</v>
      </c>
      <c r="H54">
        <v>185000</v>
      </c>
      <c r="I54">
        <v>555000</v>
      </c>
      <c r="J54" t="s">
        <v>51</v>
      </c>
      <c r="K54" t="s">
        <v>84</v>
      </c>
    </row>
    <row r="55" spans="1:11" x14ac:dyDescent="0.35">
      <c r="A55" t="s">
        <v>157</v>
      </c>
      <c r="B55" s="2">
        <v>45892</v>
      </c>
      <c r="C55" s="2"/>
      <c r="D55" t="s">
        <v>131</v>
      </c>
      <c r="E55" t="s">
        <v>158</v>
      </c>
      <c r="F55" t="s">
        <v>30</v>
      </c>
      <c r="G55">
        <v>5</v>
      </c>
      <c r="H55">
        <v>120000</v>
      </c>
      <c r="I55">
        <v>600000</v>
      </c>
      <c r="J55" t="s">
        <v>36</v>
      </c>
      <c r="K55" t="s">
        <v>37</v>
      </c>
    </row>
    <row r="56" spans="1:11" x14ac:dyDescent="0.35">
      <c r="A56" t="s">
        <v>159</v>
      </c>
      <c r="B56" s="2">
        <v>45893</v>
      </c>
      <c r="C56" s="2"/>
      <c r="D56" t="s">
        <v>94</v>
      </c>
      <c r="E56" t="s">
        <v>65</v>
      </c>
      <c r="F56" t="s">
        <v>59</v>
      </c>
      <c r="G56">
        <v>5</v>
      </c>
      <c r="H56">
        <v>18000</v>
      </c>
      <c r="I56">
        <v>90000</v>
      </c>
      <c r="J56" t="s">
        <v>36</v>
      </c>
      <c r="K56" t="s">
        <v>60</v>
      </c>
    </row>
    <row r="57" spans="1:11" x14ac:dyDescent="0.35">
      <c r="A57" t="s">
        <v>160</v>
      </c>
      <c r="B57" s="2">
        <v>45894</v>
      </c>
      <c r="C57" s="2"/>
      <c r="D57" t="s">
        <v>161</v>
      </c>
      <c r="E57" t="s">
        <v>162</v>
      </c>
      <c r="F57" t="s">
        <v>30</v>
      </c>
      <c r="G57">
        <v>1</v>
      </c>
      <c r="H57">
        <v>280000</v>
      </c>
      <c r="I57">
        <v>280000</v>
      </c>
      <c r="J57" t="s">
        <v>31</v>
      </c>
      <c r="K57" t="s">
        <v>84</v>
      </c>
    </row>
    <row r="58" spans="1:11" x14ac:dyDescent="0.35">
      <c r="A58" t="s">
        <v>163</v>
      </c>
      <c r="B58" s="2">
        <v>45895</v>
      </c>
      <c r="C58" s="2"/>
      <c r="D58" t="s">
        <v>72</v>
      </c>
      <c r="E58" t="s">
        <v>40</v>
      </c>
      <c r="F58" t="s">
        <v>30</v>
      </c>
      <c r="G58">
        <v>1</v>
      </c>
      <c r="H58">
        <v>540000</v>
      </c>
      <c r="I58">
        <v>540000</v>
      </c>
      <c r="J58" t="s">
        <v>51</v>
      </c>
      <c r="K58" t="s">
        <v>84</v>
      </c>
    </row>
    <row r="59" spans="1:11" x14ac:dyDescent="0.35">
      <c r="A59" t="s">
        <v>164</v>
      </c>
      <c r="B59" s="2">
        <v>45896</v>
      </c>
      <c r="C59" s="2"/>
      <c r="D59" t="s">
        <v>28</v>
      </c>
      <c r="E59" t="s">
        <v>113</v>
      </c>
      <c r="F59" t="s">
        <v>41</v>
      </c>
      <c r="G59">
        <v>4</v>
      </c>
      <c r="H59">
        <v>185000</v>
      </c>
      <c r="I59">
        <v>740000</v>
      </c>
      <c r="J59" t="s">
        <v>31</v>
      </c>
      <c r="K59" t="s">
        <v>46</v>
      </c>
    </row>
    <row r="60" spans="1:11" x14ac:dyDescent="0.35">
      <c r="A60" t="s">
        <v>165</v>
      </c>
      <c r="B60" s="2">
        <v>45897</v>
      </c>
      <c r="C60" s="2"/>
      <c r="D60" t="s">
        <v>62</v>
      </c>
      <c r="E60" t="s">
        <v>78</v>
      </c>
      <c r="F60" t="s">
        <v>55</v>
      </c>
      <c r="G60">
        <v>5</v>
      </c>
      <c r="H60">
        <v>120000</v>
      </c>
      <c r="I60">
        <v>600000</v>
      </c>
      <c r="J60" t="s">
        <v>31</v>
      </c>
      <c r="K60" t="s">
        <v>84</v>
      </c>
    </row>
    <row r="61" spans="1:11" x14ac:dyDescent="0.35">
      <c r="A61" t="s">
        <v>166</v>
      </c>
      <c r="B61" s="2">
        <v>45898</v>
      </c>
      <c r="C61" s="2"/>
      <c r="D61" t="s">
        <v>167</v>
      </c>
      <c r="E61" t="s">
        <v>100</v>
      </c>
      <c r="F61" t="s">
        <v>50</v>
      </c>
      <c r="G61">
        <v>2</v>
      </c>
      <c r="H61">
        <v>120000</v>
      </c>
      <c r="I61">
        <v>240000</v>
      </c>
      <c r="J61" t="s">
        <v>31</v>
      </c>
      <c r="K61" t="s">
        <v>122</v>
      </c>
    </row>
    <row r="62" spans="1:11" x14ac:dyDescent="0.35">
      <c r="A62" t="s">
        <v>168</v>
      </c>
      <c r="B62" s="2">
        <v>45899</v>
      </c>
      <c r="C62" s="2"/>
      <c r="D62" t="s">
        <v>28</v>
      </c>
      <c r="E62" t="s">
        <v>100</v>
      </c>
      <c r="F62" t="s">
        <v>59</v>
      </c>
      <c r="G62">
        <v>3</v>
      </c>
      <c r="H62">
        <v>95000</v>
      </c>
      <c r="I62">
        <v>285000</v>
      </c>
      <c r="J62" t="s">
        <v>51</v>
      </c>
      <c r="K62" t="s">
        <v>146</v>
      </c>
    </row>
    <row r="63" spans="1:11" x14ac:dyDescent="0.35">
      <c r="A63" t="s">
        <v>169</v>
      </c>
      <c r="B63" s="2">
        <v>45900</v>
      </c>
      <c r="C63" s="2"/>
      <c r="D63" t="s">
        <v>170</v>
      </c>
      <c r="E63" t="s">
        <v>125</v>
      </c>
      <c r="F63" t="s">
        <v>35</v>
      </c>
      <c r="G63">
        <v>1</v>
      </c>
      <c r="H63">
        <v>120000</v>
      </c>
      <c r="I63">
        <v>120000</v>
      </c>
      <c r="J63" t="s">
        <v>51</v>
      </c>
      <c r="K63" t="s">
        <v>146</v>
      </c>
    </row>
    <row r="64" spans="1:11" x14ac:dyDescent="0.35">
      <c r="A64" t="s">
        <v>171</v>
      </c>
      <c r="B64" s="2">
        <v>45901</v>
      </c>
      <c r="C64" s="2"/>
      <c r="D64" t="s">
        <v>88</v>
      </c>
      <c r="E64" t="s">
        <v>172</v>
      </c>
      <c r="F64" t="s">
        <v>30</v>
      </c>
      <c r="G64">
        <v>3</v>
      </c>
      <c r="H64">
        <v>365000</v>
      </c>
      <c r="I64">
        <v>1095000</v>
      </c>
      <c r="J64" t="s">
        <v>36</v>
      </c>
      <c r="K64" t="s">
        <v>146</v>
      </c>
    </row>
    <row r="65" spans="1:11" x14ac:dyDescent="0.35">
      <c r="A65" t="s">
        <v>173</v>
      </c>
      <c r="B65" s="2">
        <v>45902</v>
      </c>
      <c r="C65" s="2"/>
      <c r="D65" t="s">
        <v>131</v>
      </c>
      <c r="E65" t="s">
        <v>44</v>
      </c>
      <c r="F65" t="s">
        <v>55</v>
      </c>
      <c r="G65">
        <v>3</v>
      </c>
      <c r="H65">
        <v>540000</v>
      </c>
      <c r="I65">
        <v>1620000</v>
      </c>
      <c r="J65" t="s">
        <v>31</v>
      </c>
      <c r="K65" t="s">
        <v>122</v>
      </c>
    </row>
    <row r="66" spans="1:11" x14ac:dyDescent="0.35">
      <c r="A66" t="s">
        <v>174</v>
      </c>
      <c r="B66" s="2">
        <v>45903</v>
      </c>
      <c r="C66" s="2"/>
      <c r="D66" t="s">
        <v>117</v>
      </c>
      <c r="E66" t="s">
        <v>175</v>
      </c>
      <c r="F66" t="s">
        <v>66</v>
      </c>
      <c r="G66">
        <v>4</v>
      </c>
      <c r="H66">
        <v>365000</v>
      </c>
      <c r="I66">
        <v>1460000</v>
      </c>
      <c r="J66" t="s">
        <v>36</v>
      </c>
      <c r="K66" t="s">
        <v>37</v>
      </c>
    </row>
    <row r="67" spans="1:11" x14ac:dyDescent="0.35">
      <c r="A67" t="s">
        <v>176</v>
      </c>
      <c r="B67" s="2">
        <v>45904</v>
      </c>
      <c r="C67" s="2"/>
      <c r="D67" t="s">
        <v>177</v>
      </c>
      <c r="E67" t="s">
        <v>178</v>
      </c>
      <c r="F67" t="s">
        <v>70</v>
      </c>
      <c r="G67">
        <v>5</v>
      </c>
      <c r="H67">
        <v>540000</v>
      </c>
      <c r="I67">
        <v>2700000</v>
      </c>
      <c r="J67" t="s">
        <v>31</v>
      </c>
      <c r="K67" t="s">
        <v>46</v>
      </c>
    </row>
    <row r="68" spans="1:11" x14ac:dyDescent="0.35">
      <c r="A68" t="s">
        <v>179</v>
      </c>
      <c r="B68" s="2">
        <v>45905</v>
      </c>
      <c r="C68" s="2"/>
      <c r="D68" t="s">
        <v>170</v>
      </c>
      <c r="E68" t="s">
        <v>65</v>
      </c>
      <c r="F68" t="s">
        <v>41</v>
      </c>
      <c r="G68">
        <v>1</v>
      </c>
      <c r="H68">
        <v>280000</v>
      </c>
      <c r="I68">
        <v>280000</v>
      </c>
      <c r="J68" t="s">
        <v>51</v>
      </c>
      <c r="K68" t="s">
        <v>84</v>
      </c>
    </row>
    <row r="69" spans="1:11" x14ac:dyDescent="0.35">
      <c r="A69" t="s">
        <v>180</v>
      </c>
      <c r="B69" s="2">
        <v>45906</v>
      </c>
      <c r="C69" s="2"/>
      <c r="D69" t="s">
        <v>68</v>
      </c>
      <c r="E69" t="s">
        <v>103</v>
      </c>
      <c r="F69" t="s">
        <v>50</v>
      </c>
      <c r="G69">
        <v>3</v>
      </c>
      <c r="H69">
        <v>540000</v>
      </c>
      <c r="I69">
        <v>1620000</v>
      </c>
      <c r="J69" t="s">
        <v>51</v>
      </c>
      <c r="K69" t="s">
        <v>122</v>
      </c>
    </row>
    <row r="70" spans="1:11" x14ac:dyDescent="0.35">
      <c r="A70" t="s">
        <v>181</v>
      </c>
      <c r="B70" s="2">
        <v>45907</v>
      </c>
      <c r="C70" s="2"/>
      <c r="D70" t="s">
        <v>167</v>
      </c>
      <c r="E70" t="s">
        <v>107</v>
      </c>
      <c r="F70" t="s">
        <v>95</v>
      </c>
      <c r="G70">
        <v>1</v>
      </c>
      <c r="H70">
        <v>365000</v>
      </c>
      <c r="I70">
        <v>365000</v>
      </c>
      <c r="J70" t="s">
        <v>51</v>
      </c>
      <c r="K70" t="s">
        <v>146</v>
      </c>
    </row>
    <row r="71" spans="1:11" x14ac:dyDescent="0.35">
      <c r="A71" t="s">
        <v>182</v>
      </c>
      <c r="B71" s="2">
        <v>45908</v>
      </c>
      <c r="C71" s="2"/>
      <c r="D71" t="s">
        <v>68</v>
      </c>
      <c r="E71" t="s">
        <v>183</v>
      </c>
      <c r="F71" t="s">
        <v>41</v>
      </c>
      <c r="G71">
        <v>2</v>
      </c>
      <c r="H71">
        <v>540000</v>
      </c>
      <c r="I71">
        <v>1080000</v>
      </c>
      <c r="J71" t="s">
        <v>31</v>
      </c>
      <c r="K71" t="s">
        <v>60</v>
      </c>
    </row>
    <row r="72" spans="1:11" x14ac:dyDescent="0.35">
      <c r="A72" t="s">
        <v>184</v>
      </c>
      <c r="B72" s="2">
        <v>45909</v>
      </c>
      <c r="C72" s="2"/>
      <c r="D72" t="s">
        <v>62</v>
      </c>
      <c r="E72" t="s">
        <v>40</v>
      </c>
      <c r="F72" t="s">
        <v>66</v>
      </c>
      <c r="G72">
        <v>4</v>
      </c>
      <c r="H72">
        <v>280000</v>
      </c>
      <c r="I72">
        <v>1120000</v>
      </c>
      <c r="J72" t="s">
        <v>51</v>
      </c>
      <c r="K72" t="s">
        <v>32</v>
      </c>
    </row>
    <row r="73" spans="1:11" x14ac:dyDescent="0.35">
      <c r="A73" t="s">
        <v>185</v>
      </c>
      <c r="B73" s="2">
        <v>45910</v>
      </c>
      <c r="C73" s="2"/>
      <c r="D73" t="s">
        <v>102</v>
      </c>
      <c r="E73" t="s">
        <v>175</v>
      </c>
      <c r="F73" t="s">
        <v>70</v>
      </c>
      <c r="G73">
        <v>2</v>
      </c>
      <c r="H73">
        <v>280000</v>
      </c>
      <c r="I73">
        <v>560000</v>
      </c>
      <c r="J73" t="s">
        <v>31</v>
      </c>
      <c r="K73" t="s">
        <v>84</v>
      </c>
    </row>
    <row r="74" spans="1:11" x14ac:dyDescent="0.35">
      <c r="A74" t="s">
        <v>186</v>
      </c>
      <c r="B74" s="2">
        <v>45911</v>
      </c>
      <c r="C74" s="2"/>
      <c r="D74" t="s">
        <v>34</v>
      </c>
      <c r="E74" t="s">
        <v>121</v>
      </c>
      <c r="F74" t="s">
        <v>66</v>
      </c>
      <c r="G74">
        <v>1</v>
      </c>
      <c r="H74">
        <v>18000</v>
      </c>
      <c r="I74">
        <v>18000</v>
      </c>
      <c r="J74" t="s">
        <v>36</v>
      </c>
      <c r="K74" t="s">
        <v>122</v>
      </c>
    </row>
    <row r="75" spans="1:11" x14ac:dyDescent="0.35">
      <c r="A75" t="s">
        <v>187</v>
      </c>
      <c r="B75" s="2">
        <v>45912</v>
      </c>
      <c r="C75" s="2"/>
      <c r="D75" t="s">
        <v>117</v>
      </c>
      <c r="E75" t="s">
        <v>188</v>
      </c>
      <c r="F75" t="s">
        <v>59</v>
      </c>
      <c r="G75">
        <v>1</v>
      </c>
      <c r="H75">
        <v>540000</v>
      </c>
      <c r="I75">
        <v>540000</v>
      </c>
      <c r="J75" t="s">
        <v>31</v>
      </c>
      <c r="K75" t="s">
        <v>56</v>
      </c>
    </row>
    <row r="76" spans="1:11" x14ac:dyDescent="0.35">
      <c r="A76" t="s">
        <v>189</v>
      </c>
      <c r="B76" s="2">
        <v>45913</v>
      </c>
      <c r="C76" s="2"/>
      <c r="D76" t="s">
        <v>43</v>
      </c>
      <c r="E76" t="s">
        <v>183</v>
      </c>
      <c r="F76" t="s">
        <v>30</v>
      </c>
      <c r="G76">
        <v>5</v>
      </c>
      <c r="H76">
        <v>95000</v>
      </c>
      <c r="I76">
        <v>475000</v>
      </c>
      <c r="J76" t="s">
        <v>36</v>
      </c>
      <c r="K76" t="s">
        <v>122</v>
      </c>
    </row>
    <row r="77" spans="1:11" x14ac:dyDescent="0.35">
      <c r="A77" t="s">
        <v>190</v>
      </c>
      <c r="B77" s="2">
        <v>45914</v>
      </c>
      <c r="C77" s="2"/>
      <c r="D77" t="s">
        <v>117</v>
      </c>
      <c r="E77" t="s">
        <v>90</v>
      </c>
      <c r="F77" t="s">
        <v>50</v>
      </c>
      <c r="G77">
        <v>3</v>
      </c>
      <c r="H77">
        <v>68000</v>
      </c>
      <c r="I77">
        <v>204000</v>
      </c>
      <c r="J77" t="s">
        <v>31</v>
      </c>
      <c r="K77" t="s">
        <v>46</v>
      </c>
    </row>
    <row r="78" spans="1:11" x14ac:dyDescent="0.35">
      <c r="A78" t="s">
        <v>191</v>
      </c>
      <c r="B78" s="2">
        <v>45915</v>
      </c>
      <c r="C78" s="2"/>
      <c r="D78" t="s">
        <v>28</v>
      </c>
      <c r="E78" t="s">
        <v>63</v>
      </c>
      <c r="F78" t="s">
        <v>45</v>
      </c>
      <c r="G78">
        <v>3</v>
      </c>
      <c r="H78">
        <v>28000</v>
      </c>
      <c r="I78">
        <v>84000</v>
      </c>
      <c r="J78" t="s">
        <v>36</v>
      </c>
      <c r="K78" t="s">
        <v>46</v>
      </c>
    </row>
    <row r="79" spans="1:11" x14ac:dyDescent="0.35">
      <c r="A79" t="s">
        <v>192</v>
      </c>
      <c r="B79" s="2">
        <v>45916</v>
      </c>
      <c r="C79" s="2"/>
      <c r="D79" t="s">
        <v>106</v>
      </c>
      <c r="E79" t="s">
        <v>115</v>
      </c>
      <c r="F79" t="s">
        <v>30</v>
      </c>
      <c r="G79">
        <v>2</v>
      </c>
      <c r="H79">
        <v>280000</v>
      </c>
      <c r="I79">
        <v>560000</v>
      </c>
      <c r="J79" t="s">
        <v>51</v>
      </c>
      <c r="K79" t="s">
        <v>122</v>
      </c>
    </row>
    <row r="80" spans="1:11" x14ac:dyDescent="0.35">
      <c r="A80" t="s">
        <v>193</v>
      </c>
      <c r="B80" s="2">
        <v>45917</v>
      </c>
      <c r="C80" s="2"/>
      <c r="D80" t="s">
        <v>39</v>
      </c>
      <c r="E80" t="s">
        <v>40</v>
      </c>
      <c r="F80" t="s">
        <v>45</v>
      </c>
      <c r="G80">
        <v>4</v>
      </c>
      <c r="H80">
        <v>45000</v>
      </c>
      <c r="I80">
        <v>180000</v>
      </c>
      <c r="J80" t="s">
        <v>36</v>
      </c>
      <c r="K80" t="s">
        <v>146</v>
      </c>
    </row>
    <row r="81" spans="1:11" x14ac:dyDescent="0.35">
      <c r="A81" t="s">
        <v>194</v>
      </c>
      <c r="B81" s="2">
        <v>45918</v>
      </c>
      <c r="C81" s="2"/>
      <c r="D81" t="s">
        <v>53</v>
      </c>
      <c r="E81" t="s">
        <v>58</v>
      </c>
      <c r="F81" t="s">
        <v>70</v>
      </c>
      <c r="G81">
        <v>3</v>
      </c>
      <c r="H81">
        <v>68000</v>
      </c>
      <c r="I81">
        <v>204000</v>
      </c>
      <c r="J81" t="s">
        <v>51</v>
      </c>
      <c r="K81" t="s">
        <v>32</v>
      </c>
    </row>
    <row r="82" spans="1:11" x14ac:dyDescent="0.35">
      <c r="A82" t="s">
        <v>195</v>
      </c>
      <c r="B82" s="2">
        <v>45919</v>
      </c>
      <c r="C82" s="2"/>
      <c r="D82" t="s">
        <v>43</v>
      </c>
      <c r="E82" t="s">
        <v>49</v>
      </c>
      <c r="F82" t="s">
        <v>55</v>
      </c>
      <c r="G82">
        <v>5</v>
      </c>
      <c r="H82">
        <v>185000</v>
      </c>
      <c r="I82">
        <v>925000</v>
      </c>
      <c r="J82" t="s">
        <v>51</v>
      </c>
      <c r="K82" t="s">
        <v>84</v>
      </c>
    </row>
    <row r="83" spans="1:11" x14ac:dyDescent="0.35">
      <c r="A83" t="s">
        <v>196</v>
      </c>
      <c r="B83" s="2">
        <v>45920</v>
      </c>
      <c r="C83" s="2"/>
      <c r="D83" t="s">
        <v>94</v>
      </c>
      <c r="E83" t="s">
        <v>78</v>
      </c>
      <c r="F83" t="s">
        <v>95</v>
      </c>
      <c r="G83">
        <v>2</v>
      </c>
      <c r="H83">
        <v>540000</v>
      </c>
      <c r="I83">
        <v>1080000</v>
      </c>
      <c r="J83" t="s">
        <v>36</v>
      </c>
      <c r="K83" t="s">
        <v>46</v>
      </c>
    </row>
    <row r="84" spans="1:11" x14ac:dyDescent="0.35">
      <c r="A84" t="s">
        <v>197</v>
      </c>
      <c r="B84" s="2">
        <v>45921</v>
      </c>
      <c r="C84" s="2"/>
      <c r="D84" t="s">
        <v>177</v>
      </c>
      <c r="E84" t="s">
        <v>198</v>
      </c>
      <c r="F84" t="s">
        <v>35</v>
      </c>
      <c r="G84">
        <v>2</v>
      </c>
      <c r="H84">
        <v>365000</v>
      </c>
      <c r="I84">
        <v>730000</v>
      </c>
      <c r="J84" t="s">
        <v>31</v>
      </c>
      <c r="K84" t="s">
        <v>84</v>
      </c>
    </row>
    <row r="85" spans="1:11" x14ac:dyDescent="0.35">
      <c r="A85" t="s">
        <v>199</v>
      </c>
      <c r="B85" s="2">
        <v>45922</v>
      </c>
      <c r="C85" s="2"/>
      <c r="D85" t="s">
        <v>133</v>
      </c>
      <c r="E85" t="s">
        <v>78</v>
      </c>
      <c r="F85" t="s">
        <v>30</v>
      </c>
      <c r="G85">
        <v>5</v>
      </c>
      <c r="H85">
        <v>28000</v>
      </c>
      <c r="I85">
        <v>140000</v>
      </c>
      <c r="J85" t="s">
        <v>31</v>
      </c>
      <c r="K85" t="s">
        <v>146</v>
      </c>
    </row>
    <row r="86" spans="1:11" x14ac:dyDescent="0.35">
      <c r="A86" t="s">
        <v>200</v>
      </c>
      <c r="B86" s="2">
        <v>45923</v>
      </c>
      <c r="C86" s="2"/>
      <c r="D86" t="s">
        <v>88</v>
      </c>
      <c r="E86" t="s">
        <v>201</v>
      </c>
      <c r="F86" t="s">
        <v>50</v>
      </c>
      <c r="G86">
        <v>4</v>
      </c>
      <c r="H86">
        <v>45000</v>
      </c>
      <c r="I86">
        <v>180000</v>
      </c>
      <c r="J86" t="s">
        <v>31</v>
      </c>
      <c r="K86" t="s">
        <v>84</v>
      </c>
    </row>
    <row r="87" spans="1:11" x14ac:dyDescent="0.35">
      <c r="A87" t="s">
        <v>202</v>
      </c>
      <c r="B87" s="2">
        <v>45924</v>
      </c>
      <c r="C87" s="2"/>
      <c r="D87" t="s">
        <v>170</v>
      </c>
      <c r="E87" t="s">
        <v>158</v>
      </c>
      <c r="F87" t="s">
        <v>66</v>
      </c>
      <c r="G87">
        <v>5</v>
      </c>
      <c r="H87">
        <v>68000</v>
      </c>
      <c r="I87">
        <v>340000</v>
      </c>
      <c r="J87" t="s">
        <v>31</v>
      </c>
      <c r="K87" t="s">
        <v>60</v>
      </c>
    </row>
    <row r="88" spans="1:11" x14ac:dyDescent="0.35">
      <c r="A88" t="s">
        <v>203</v>
      </c>
      <c r="B88" s="2">
        <v>45925</v>
      </c>
      <c r="C88" s="2"/>
      <c r="D88" t="s">
        <v>53</v>
      </c>
      <c r="E88" t="s">
        <v>98</v>
      </c>
      <c r="F88" t="s">
        <v>50</v>
      </c>
      <c r="G88">
        <v>4</v>
      </c>
      <c r="H88">
        <v>540000</v>
      </c>
      <c r="I88">
        <v>2160000</v>
      </c>
      <c r="J88" t="s">
        <v>31</v>
      </c>
      <c r="K88" t="s">
        <v>46</v>
      </c>
    </row>
    <row r="89" spans="1:11" x14ac:dyDescent="0.35">
      <c r="A89" t="s">
        <v>204</v>
      </c>
      <c r="B89" s="2">
        <v>45926</v>
      </c>
      <c r="C89" s="2"/>
      <c r="D89" t="s">
        <v>88</v>
      </c>
      <c r="E89" t="s">
        <v>63</v>
      </c>
      <c r="F89" t="s">
        <v>70</v>
      </c>
      <c r="G89">
        <v>5</v>
      </c>
      <c r="H89">
        <v>18000</v>
      </c>
      <c r="I89">
        <v>90000</v>
      </c>
      <c r="J89" t="s">
        <v>51</v>
      </c>
      <c r="K89" t="s">
        <v>146</v>
      </c>
    </row>
    <row r="90" spans="1:11" x14ac:dyDescent="0.35">
      <c r="A90" t="s">
        <v>205</v>
      </c>
      <c r="B90" s="2">
        <v>45927</v>
      </c>
      <c r="C90" s="2"/>
      <c r="D90" t="s">
        <v>102</v>
      </c>
      <c r="E90" t="s">
        <v>206</v>
      </c>
      <c r="F90" t="s">
        <v>45</v>
      </c>
      <c r="G90">
        <v>5</v>
      </c>
      <c r="H90">
        <v>185000</v>
      </c>
      <c r="I90">
        <v>925000</v>
      </c>
      <c r="J90" t="s">
        <v>31</v>
      </c>
      <c r="K90" t="s">
        <v>146</v>
      </c>
    </row>
    <row r="91" spans="1:11" x14ac:dyDescent="0.35">
      <c r="A91" t="s">
        <v>207</v>
      </c>
      <c r="B91" s="2">
        <v>45928</v>
      </c>
      <c r="C91" s="2"/>
      <c r="D91" t="s">
        <v>109</v>
      </c>
      <c r="E91" t="s">
        <v>208</v>
      </c>
      <c r="F91" t="s">
        <v>66</v>
      </c>
      <c r="G91">
        <v>1</v>
      </c>
      <c r="H91">
        <v>28000</v>
      </c>
      <c r="I91">
        <v>28000</v>
      </c>
      <c r="J91" t="s">
        <v>51</v>
      </c>
      <c r="K91" t="s">
        <v>32</v>
      </c>
    </row>
    <row r="92" spans="1:11" x14ac:dyDescent="0.35">
      <c r="A92" t="s">
        <v>209</v>
      </c>
      <c r="B92" s="2">
        <v>45929</v>
      </c>
      <c r="C92" s="2"/>
      <c r="D92" t="s">
        <v>112</v>
      </c>
      <c r="E92" t="s">
        <v>198</v>
      </c>
      <c r="F92" t="s">
        <v>35</v>
      </c>
      <c r="G92">
        <v>2</v>
      </c>
      <c r="H92">
        <v>95000</v>
      </c>
      <c r="I92">
        <v>190000</v>
      </c>
      <c r="J92" t="s">
        <v>51</v>
      </c>
      <c r="K92" t="s">
        <v>32</v>
      </c>
    </row>
    <row r="93" spans="1:11" x14ac:dyDescent="0.35">
      <c r="A93" t="s">
        <v>210</v>
      </c>
      <c r="B93" s="2">
        <v>45930</v>
      </c>
      <c r="C93" s="2"/>
      <c r="D93" t="s">
        <v>97</v>
      </c>
      <c r="E93" t="s">
        <v>113</v>
      </c>
      <c r="F93" t="s">
        <v>35</v>
      </c>
      <c r="G93">
        <v>5</v>
      </c>
      <c r="H93">
        <v>18000</v>
      </c>
      <c r="I93">
        <v>90000</v>
      </c>
      <c r="J93" t="s">
        <v>51</v>
      </c>
      <c r="K93" t="s">
        <v>60</v>
      </c>
    </row>
    <row r="94" spans="1:11" x14ac:dyDescent="0.35">
      <c r="A94" t="s">
        <v>211</v>
      </c>
      <c r="B94" s="2">
        <v>45931</v>
      </c>
      <c r="C94" s="2"/>
      <c r="D94" t="s">
        <v>138</v>
      </c>
      <c r="E94" t="s">
        <v>83</v>
      </c>
      <c r="F94" t="s">
        <v>30</v>
      </c>
      <c r="G94">
        <v>5</v>
      </c>
      <c r="H94">
        <v>45000</v>
      </c>
      <c r="I94">
        <v>225000</v>
      </c>
      <c r="J94" t="s">
        <v>36</v>
      </c>
      <c r="K94" t="s">
        <v>146</v>
      </c>
    </row>
    <row r="95" spans="1:11" x14ac:dyDescent="0.35">
      <c r="A95" t="s">
        <v>212</v>
      </c>
      <c r="B95" s="2">
        <v>45932</v>
      </c>
      <c r="C95" s="2"/>
      <c r="D95" t="s">
        <v>88</v>
      </c>
      <c r="E95" t="s">
        <v>73</v>
      </c>
      <c r="F95" t="s">
        <v>70</v>
      </c>
      <c r="G95">
        <v>3</v>
      </c>
      <c r="H95">
        <v>28000</v>
      </c>
      <c r="I95">
        <v>84000</v>
      </c>
      <c r="J95" t="s">
        <v>36</v>
      </c>
      <c r="K95" t="s">
        <v>37</v>
      </c>
    </row>
    <row r="96" spans="1:11" x14ac:dyDescent="0.35">
      <c r="A96" t="s">
        <v>213</v>
      </c>
      <c r="B96" s="2">
        <v>45933</v>
      </c>
      <c r="C96" s="2"/>
      <c r="D96" t="s">
        <v>97</v>
      </c>
      <c r="E96" t="s">
        <v>178</v>
      </c>
      <c r="F96" t="s">
        <v>55</v>
      </c>
      <c r="G96">
        <v>2</v>
      </c>
      <c r="H96">
        <v>18000</v>
      </c>
      <c r="I96">
        <v>36000</v>
      </c>
      <c r="J96" t="s">
        <v>51</v>
      </c>
      <c r="K96" t="s">
        <v>146</v>
      </c>
    </row>
    <row r="97" spans="1:11" x14ac:dyDescent="0.35">
      <c r="A97" t="s">
        <v>214</v>
      </c>
      <c r="B97" s="2">
        <v>45934</v>
      </c>
      <c r="C97" s="2"/>
      <c r="D97" t="s">
        <v>39</v>
      </c>
      <c r="E97" t="s">
        <v>178</v>
      </c>
      <c r="F97" t="s">
        <v>70</v>
      </c>
      <c r="G97">
        <v>3</v>
      </c>
      <c r="H97">
        <v>185000</v>
      </c>
      <c r="I97">
        <v>555000</v>
      </c>
      <c r="J97" t="s">
        <v>36</v>
      </c>
      <c r="K97" t="s">
        <v>32</v>
      </c>
    </row>
    <row r="98" spans="1:11" x14ac:dyDescent="0.35">
      <c r="A98" t="s">
        <v>215</v>
      </c>
      <c r="B98" s="2">
        <v>45935</v>
      </c>
      <c r="C98" s="2"/>
      <c r="D98" t="s">
        <v>170</v>
      </c>
      <c r="E98" t="s">
        <v>216</v>
      </c>
      <c r="F98" t="s">
        <v>45</v>
      </c>
      <c r="G98">
        <v>2</v>
      </c>
      <c r="H98">
        <v>95000</v>
      </c>
      <c r="I98">
        <v>190000</v>
      </c>
      <c r="J98" t="s">
        <v>31</v>
      </c>
      <c r="K98" t="s">
        <v>37</v>
      </c>
    </row>
    <row r="99" spans="1:11" x14ac:dyDescent="0.35">
      <c r="A99" t="s">
        <v>217</v>
      </c>
      <c r="B99" s="2">
        <v>45936</v>
      </c>
      <c r="C99" s="2"/>
      <c r="D99" t="s">
        <v>68</v>
      </c>
      <c r="E99" t="s">
        <v>103</v>
      </c>
      <c r="F99" t="s">
        <v>50</v>
      </c>
      <c r="G99">
        <v>3</v>
      </c>
      <c r="H99">
        <v>18000</v>
      </c>
      <c r="I99">
        <v>54000</v>
      </c>
      <c r="J99" t="s">
        <v>31</v>
      </c>
      <c r="K99" t="s">
        <v>46</v>
      </c>
    </row>
    <row r="100" spans="1:11" x14ac:dyDescent="0.35">
      <c r="A100" t="s">
        <v>218</v>
      </c>
      <c r="B100" s="2">
        <v>45937</v>
      </c>
      <c r="C100" s="2"/>
      <c r="D100" t="s">
        <v>106</v>
      </c>
      <c r="E100" t="s">
        <v>113</v>
      </c>
      <c r="F100" t="s">
        <v>35</v>
      </c>
      <c r="G100">
        <v>5</v>
      </c>
      <c r="H100">
        <v>120000</v>
      </c>
      <c r="I100">
        <v>600000</v>
      </c>
      <c r="J100" t="s">
        <v>51</v>
      </c>
      <c r="K100" t="s">
        <v>46</v>
      </c>
    </row>
    <row r="101" spans="1:11" x14ac:dyDescent="0.35">
      <c r="A101" t="s">
        <v>219</v>
      </c>
      <c r="B101" s="2">
        <v>45938</v>
      </c>
      <c r="C101" s="2"/>
      <c r="D101" t="s">
        <v>102</v>
      </c>
      <c r="E101" t="s">
        <v>143</v>
      </c>
      <c r="F101" t="s">
        <v>50</v>
      </c>
      <c r="G101">
        <v>5</v>
      </c>
      <c r="H101">
        <v>95000</v>
      </c>
      <c r="I101">
        <v>475000</v>
      </c>
      <c r="J101" t="s">
        <v>31</v>
      </c>
      <c r="K101" t="s">
        <v>84</v>
      </c>
    </row>
    <row r="102" spans="1:11" x14ac:dyDescent="0.35">
      <c r="A102" t="s">
        <v>220</v>
      </c>
      <c r="B102" s="2">
        <v>45939</v>
      </c>
      <c r="C102" s="2"/>
      <c r="D102" t="s">
        <v>138</v>
      </c>
      <c r="E102" t="s">
        <v>115</v>
      </c>
      <c r="F102" t="s">
        <v>50</v>
      </c>
      <c r="G102">
        <v>1</v>
      </c>
      <c r="H102">
        <v>45000</v>
      </c>
      <c r="I102">
        <v>45000</v>
      </c>
      <c r="J102" t="s">
        <v>51</v>
      </c>
      <c r="K102" t="s">
        <v>122</v>
      </c>
    </row>
    <row r="103" spans="1:11" x14ac:dyDescent="0.35">
      <c r="A103" t="s">
        <v>221</v>
      </c>
      <c r="B103" s="2">
        <v>45940</v>
      </c>
      <c r="C103" s="2"/>
      <c r="D103" t="s">
        <v>109</v>
      </c>
      <c r="E103" t="s">
        <v>178</v>
      </c>
      <c r="F103" t="s">
        <v>50</v>
      </c>
      <c r="G103">
        <v>3</v>
      </c>
      <c r="H103">
        <v>185000</v>
      </c>
      <c r="I103">
        <v>555000</v>
      </c>
      <c r="J103" t="s">
        <v>51</v>
      </c>
      <c r="K103" t="s">
        <v>32</v>
      </c>
    </row>
    <row r="104" spans="1:11" x14ac:dyDescent="0.35">
      <c r="A104" t="s">
        <v>222</v>
      </c>
      <c r="B104" s="2">
        <v>45941</v>
      </c>
      <c r="C104" s="2"/>
      <c r="D104" t="s">
        <v>88</v>
      </c>
      <c r="E104" t="s">
        <v>76</v>
      </c>
      <c r="F104" t="s">
        <v>35</v>
      </c>
      <c r="G104">
        <v>4</v>
      </c>
      <c r="H104">
        <v>540000</v>
      </c>
      <c r="I104">
        <v>2160000</v>
      </c>
      <c r="J104" t="s">
        <v>31</v>
      </c>
      <c r="K104" t="s">
        <v>122</v>
      </c>
    </row>
    <row r="105" spans="1:11" x14ac:dyDescent="0.35">
      <c r="A105" t="s">
        <v>223</v>
      </c>
      <c r="B105" s="2">
        <v>45942</v>
      </c>
      <c r="C105" s="2"/>
      <c r="D105" t="s">
        <v>177</v>
      </c>
      <c r="E105" t="s">
        <v>183</v>
      </c>
      <c r="F105" t="s">
        <v>41</v>
      </c>
      <c r="G105">
        <v>1</v>
      </c>
      <c r="H105">
        <v>365000</v>
      </c>
      <c r="I105">
        <v>365000</v>
      </c>
      <c r="J105" t="s">
        <v>36</v>
      </c>
      <c r="K105" t="s">
        <v>37</v>
      </c>
    </row>
    <row r="106" spans="1:11" x14ac:dyDescent="0.35">
      <c r="A106" t="s">
        <v>224</v>
      </c>
      <c r="B106" s="2">
        <v>45943</v>
      </c>
      <c r="C106" s="2"/>
      <c r="D106" t="s">
        <v>145</v>
      </c>
      <c r="E106" t="s">
        <v>216</v>
      </c>
      <c r="F106" t="s">
        <v>59</v>
      </c>
      <c r="G106">
        <v>3</v>
      </c>
      <c r="H106">
        <v>365000</v>
      </c>
      <c r="I106">
        <v>1095000</v>
      </c>
      <c r="J106" t="s">
        <v>31</v>
      </c>
      <c r="K106" t="s">
        <v>32</v>
      </c>
    </row>
    <row r="107" spans="1:11" x14ac:dyDescent="0.35">
      <c r="A107" t="s">
        <v>225</v>
      </c>
      <c r="B107" s="2">
        <v>45944</v>
      </c>
      <c r="C107" s="2"/>
      <c r="D107" t="s">
        <v>43</v>
      </c>
      <c r="E107" t="s">
        <v>29</v>
      </c>
      <c r="F107" t="s">
        <v>45</v>
      </c>
      <c r="G107">
        <v>3</v>
      </c>
      <c r="H107">
        <v>365000</v>
      </c>
      <c r="I107">
        <v>1095000</v>
      </c>
      <c r="J107" t="s">
        <v>31</v>
      </c>
      <c r="K107" t="s">
        <v>60</v>
      </c>
    </row>
    <row r="108" spans="1:11" x14ac:dyDescent="0.35">
      <c r="A108" t="s">
        <v>226</v>
      </c>
      <c r="B108" s="2">
        <v>45945</v>
      </c>
      <c r="C108" s="2"/>
      <c r="D108" t="s">
        <v>53</v>
      </c>
      <c r="E108" t="s">
        <v>141</v>
      </c>
      <c r="F108" t="s">
        <v>41</v>
      </c>
      <c r="G108">
        <v>1</v>
      </c>
      <c r="H108">
        <v>28000</v>
      </c>
      <c r="I108">
        <v>28000</v>
      </c>
      <c r="J108" t="s">
        <v>51</v>
      </c>
      <c r="K108" t="s">
        <v>146</v>
      </c>
    </row>
    <row r="109" spans="1:11" x14ac:dyDescent="0.35">
      <c r="A109" t="s">
        <v>227</v>
      </c>
      <c r="B109" s="2">
        <v>45946</v>
      </c>
      <c r="C109" s="2"/>
      <c r="D109" t="s">
        <v>177</v>
      </c>
      <c r="E109" t="s">
        <v>80</v>
      </c>
      <c r="F109" t="s">
        <v>45</v>
      </c>
      <c r="G109">
        <v>5</v>
      </c>
      <c r="H109">
        <v>45000</v>
      </c>
      <c r="I109">
        <v>225000</v>
      </c>
      <c r="J109" t="s">
        <v>51</v>
      </c>
      <c r="K109" t="s">
        <v>60</v>
      </c>
    </row>
    <row r="110" spans="1:11" x14ac:dyDescent="0.35">
      <c r="A110" t="s">
        <v>228</v>
      </c>
      <c r="B110" s="2">
        <v>45947</v>
      </c>
      <c r="C110" s="2"/>
      <c r="D110" t="s">
        <v>75</v>
      </c>
      <c r="E110" t="s">
        <v>113</v>
      </c>
      <c r="F110" t="s">
        <v>66</v>
      </c>
      <c r="G110">
        <v>3</v>
      </c>
      <c r="H110">
        <v>185000</v>
      </c>
      <c r="I110">
        <v>555000</v>
      </c>
      <c r="J110" t="s">
        <v>51</v>
      </c>
      <c r="K110" t="s">
        <v>37</v>
      </c>
    </row>
    <row r="111" spans="1:11" x14ac:dyDescent="0.35">
      <c r="A111" t="s">
        <v>229</v>
      </c>
      <c r="B111" s="2">
        <v>45948</v>
      </c>
      <c r="C111" s="2"/>
      <c r="D111" t="s">
        <v>117</v>
      </c>
      <c r="E111" t="s">
        <v>188</v>
      </c>
      <c r="F111" t="s">
        <v>70</v>
      </c>
      <c r="G111">
        <v>5</v>
      </c>
      <c r="H111">
        <v>95000</v>
      </c>
      <c r="I111">
        <v>475000</v>
      </c>
      <c r="J111" t="s">
        <v>51</v>
      </c>
      <c r="K111" t="s">
        <v>32</v>
      </c>
    </row>
    <row r="112" spans="1:11" x14ac:dyDescent="0.35">
      <c r="A112" t="s">
        <v>230</v>
      </c>
      <c r="B112" s="2">
        <v>45949</v>
      </c>
      <c r="C112" s="2"/>
      <c r="D112" t="s">
        <v>131</v>
      </c>
      <c r="E112" t="s">
        <v>162</v>
      </c>
      <c r="F112" t="s">
        <v>70</v>
      </c>
      <c r="G112">
        <v>1</v>
      </c>
      <c r="H112">
        <v>28000</v>
      </c>
      <c r="I112">
        <v>28000</v>
      </c>
      <c r="J112" t="s">
        <v>36</v>
      </c>
      <c r="K112" t="s">
        <v>56</v>
      </c>
    </row>
    <row r="113" spans="1:11" x14ac:dyDescent="0.35">
      <c r="A113" t="s">
        <v>231</v>
      </c>
      <c r="B113" s="2">
        <v>45950</v>
      </c>
      <c r="C113" s="2"/>
      <c r="D113" t="s">
        <v>109</v>
      </c>
      <c r="E113" t="s">
        <v>201</v>
      </c>
      <c r="F113" t="s">
        <v>95</v>
      </c>
      <c r="G113">
        <v>5</v>
      </c>
      <c r="H113">
        <v>45000</v>
      </c>
      <c r="I113">
        <v>225000</v>
      </c>
      <c r="J113" t="s">
        <v>36</v>
      </c>
      <c r="K113" t="s">
        <v>37</v>
      </c>
    </row>
    <row r="114" spans="1:11" x14ac:dyDescent="0.35">
      <c r="A114" t="s">
        <v>232</v>
      </c>
      <c r="B114" s="2">
        <v>45951</v>
      </c>
      <c r="C114" s="2"/>
      <c r="D114" t="s">
        <v>53</v>
      </c>
      <c r="E114" t="s">
        <v>83</v>
      </c>
      <c r="F114" t="s">
        <v>70</v>
      </c>
      <c r="G114">
        <v>2</v>
      </c>
      <c r="H114">
        <v>540000</v>
      </c>
      <c r="I114">
        <v>1080000</v>
      </c>
      <c r="J114" t="s">
        <v>36</v>
      </c>
      <c r="K114" t="s">
        <v>56</v>
      </c>
    </row>
    <row r="115" spans="1:11" x14ac:dyDescent="0.35">
      <c r="A115" t="s">
        <v>233</v>
      </c>
      <c r="B115" s="2">
        <v>45952</v>
      </c>
      <c r="C115" s="2"/>
      <c r="D115" t="s">
        <v>62</v>
      </c>
      <c r="E115" t="s">
        <v>73</v>
      </c>
      <c r="F115" t="s">
        <v>35</v>
      </c>
      <c r="G115">
        <v>4</v>
      </c>
      <c r="H115">
        <v>120000</v>
      </c>
      <c r="I115">
        <v>480000</v>
      </c>
      <c r="J115" t="s">
        <v>51</v>
      </c>
      <c r="K115" t="s">
        <v>146</v>
      </c>
    </row>
    <row r="116" spans="1:11" x14ac:dyDescent="0.35">
      <c r="A116" t="s">
        <v>234</v>
      </c>
      <c r="B116" s="2">
        <v>45953</v>
      </c>
      <c r="C116" s="2"/>
      <c r="D116" t="s">
        <v>145</v>
      </c>
      <c r="E116" t="s">
        <v>107</v>
      </c>
      <c r="F116" t="s">
        <v>55</v>
      </c>
      <c r="G116">
        <v>3</v>
      </c>
      <c r="H116">
        <v>185000</v>
      </c>
      <c r="I116">
        <v>555000</v>
      </c>
      <c r="J116" t="s">
        <v>51</v>
      </c>
      <c r="K116" t="s">
        <v>46</v>
      </c>
    </row>
    <row r="117" spans="1:11" x14ac:dyDescent="0.35">
      <c r="A117" t="s">
        <v>235</v>
      </c>
      <c r="B117" s="2">
        <v>45954</v>
      </c>
      <c r="C117" s="2"/>
      <c r="D117" t="s">
        <v>236</v>
      </c>
      <c r="E117" t="s">
        <v>92</v>
      </c>
      <c r="F117" t="s">
        <v>30</v>
      </c>
      <c r="G117">
        <v>4</v>
      </c>
      <c r="H117">
        <v>365000</v>
      </c>
      <c r="I117">
        <v>1460000</v>
      </c>
      <c r="J117" t="s">
        <v>51</v>
      </c>
      <c r="K117" t="s">
        <v>46</v>
      </c>
    </row>
    <row r="118" spans="1:11" x14ac:dyDescent="0.35">
      <c r="A118" t="s">
        <v>237</v>
      </c>
      <c r="B118" s="2">
        <v>45955</v>
      </c>
      <c r="C118" s="2"/>
      <c r="D118" t="s">
        <v>170</v>
      </c>
      <c r="E118" t="s">
        <v>100</v>
      </c>
      <c r="F118" t="s">
        <v>95</v>
      </c>
      <c r="G118">
        <v>5</v>
      </c>
      <c r="H118">
        <v>18000</v>
      </c>
      <c r="I118">
        <v>90000</v>
      </c>
      <c r="J118" t="s">
        <v>36</v>
      </c>
      <c r="K118" t="s">
        <v>37</v>
      </c>
    </row>
    <row r="119" spans="1:11" x14ac:dyDescent="0.35">
      <c r="A119" t="s">
        <v>238</v>
      </c>
      <c r="B119" s="2">
        <v>45956</v>
      </c>
      <c r="C119" s="2"/>
      <c r="D119" t="s">
        <v>43</v>
      </c>
      <c r="E119" t="s">
        <v>239</v>
      </c>
      <c r="F119" t="s">
        <v>30</v>
      </c>
      <c r="G119">
        <v>3</v>
      </c>
      <c r="H119">
        <v>185000</v>
      </c>
      <c r="I119">
        <v>555000</v>
      </c>
      <c r="J119" t="s">
        <v>51</v>
      </c>
      <c r="K119" t="s">
        <v>122</v>
      </c>
    </row>
    <row r="120" spans="1:11" x14ac:dyDescent="0.35">
      <c r="A120" t="s">
        <v>240</v>
      </c>
      <c r="B120" s="2">
        <v>45957</v>
      </c>
      <c r="C120" s="2"/>
      <c r="D120" t="s">
        <v>62</v>
      </c>
      <c r="E120" t="s">
        <v>141</v>
      </c>
      <c r="F120" t="s">
        <v>45</v>
      </c>
      <c r="G120">
        <v>5</v>
      </c>
      <c r="H120">
        <v>280000</v>
      </c>
      <c r="I120">
        <v>1400000</v>
      </c>
      <c r="J120" t="s">
        <v>31</v>
      </c>
      <c r="K120" t="s">
        <v>32</v>
      </c>
    </row>
    <row r="121" spans="1:11" x14ac:dyDescent="0.35">
      <c r="A121" t="s">
        <v>241</v>
      </c>
      <c r="B121" s="2">
        <v>45958</v>
      </c>
      <c r="C121" s="2"/>
      <c r="D121" t="s">
        <v>82</v>
      </c>
      <c r="E121" t="s">
        <v>100</v>
      </c>
      <c r="F121" t="s">
        <v>30</v>
      </c>
      <c r="G121">
        <v>2</v>
      </c>
      <c r="H121">
        <v>45000</v>
      </c>
      <c r="I121">
        <v>90000</v>
      </c>
      <c r="J121" t="s">
        <v>31</v>
      </c>
      <c r="K121" t="s">
        <v>32</v>
      </c>
    </row>
    <row r="122" spans="1:11" x14ac:dyDescent="0.35">
      <c r="A122" t="s">
        <v>242</v>
      </c>
      <c r="B122" s="2">
        <v>45959</v>
      </c>
      <c r="C122" s="2"/>
      <c r="D122" t="s">
        <v>68</v>
      </c>
      <c r="E122" t="s">
        <v>183</v>
      </c>
      <c r="F122" t="s">
        <v>30</v>
      </c>
      <c r="G122">
        <v>1</v>
      </c>
      <c r="H122">
        <v>68000</v>
      </c>
      <c r="I122">
        <v>68000</v>
      </c>
      <c r="J122" t="s">
        <v>51</v>
      </c>
      <c r="K122" t="s">
        <v>46</v>
      </c>
    </row>
    <row r="123" spans="1:11" x14ac:dyDescent="0.35">
      <c r="A123" t="s">
        <v>243</v>
      </c>
      <c r="B123" s="2">
        <v>45960</v>
      </c>
      <c r="C123" s="2"/>
      <c r="D123" t="s">
        <v>131</v>
      </c>
      <c r="E123" t="s">
        <v>100</v>
      </c>
      <c r="F123" t="s">
        <v>95</v>
      </c>
      <c r="G123">
        <v>3</v>
      </c>
      <c r="H123">
        <v>540000</v>
      </c>
      <c r="I123">
        <v>1620000</v>
      </c>
      <c r="J123" t="s">
        <v>31</v>
      </c>
      <c r="K123" t="s">
        <v>84</v>
      </c>
    </row>
    <row r="124" spans="1:11" x14ac:dyDescent="0.35">
      <c r="A124" t="s">
        <v>244</v>
      </c>
      <c r="B124" s="2">
        <v>45961</v>
      </c>
      <c r="C124" s="2"/>
      <c r="D124" t="s">
        <v>117</v>
      </c>
      <c r="E124" t="s">
        <v>121</v>
      </c>
      <c r="F124" t="s">
        <v>66</v>
      </c>
      <c r="G124">
        <v>2</v>
      </c>
      <c r="H124">
        <v>120000</v>
      </c>
      <c r="I124">
        <v>240000</v>
      </c>
      <c r="J124" t="s">
        <v>31</v>
      </c>
      <c r="K124" t="s">
        <v>60</v>
      </c>
    </row>
    <row r="125" spans="1:11" x14ac:dyDescent="0.35">
      <c r="A125" t="s">
        <v>245</v>
      </c>
      <c r="B125" s="2">
        <v>45962</v>
      </c>
      <c r="C125" s="2"/>
      <c r="D125" t="s">
        <v>117</v>
      </c>
      <c r="E125" t="s">
        <v>246</v>
      </c>
      <c r="F125" t="s">
        <v>50</v>
      </c>
      <c r="G125">
        <v>2</v>
      </c>
      <c r="H125">
        <v>540000</v>
      </c>
      <c r="I125">
        <v>1080000</v>
      </c>
      <c r="J125" t="s">
        <v>36</v>
      </c>
      <c r="K125" t="s">
        <v>84</v>
      </c>
    </row>
    <row r="126" spans="1:11" x14ac:dyDescent="0.35">
      <c r="A126" t="s">
        <v>247</v>
      </c>
      <c r="B126" s="2">
        <v>45963</v>
      </c>
      <c r="C126" s="2"/>
      <c r="D126" t="s">
        <v>117</v>
      </c>
      <c r="E126" t="s">
        <v>248</v>
      </c>
      <c r="F126" t="s">
        <v>70</v>
      </c>
      <c r="G126">
        <v>3</v>
      </c>
      <c r="H126">
        <v>185000</v>
      </c>
      <c r="I126">
        <v>555000</v>
      </c>
      <c r="J126" t="s">
        <v>51</v>
      </c>
      <c r="K126" t="s">
        <v>146</v>
      </c>
    </row>
    <row r="127" spans="1:11" x14ac:dyDescent="0.35">
      <c r="A127" t="s">
        <v>249</v>
      </c>
      <c r="B127" s="2">
        <v>45964</v>
      </c>
      <c r="C127" s="2"/>
      <c r="D127" t="s">
        <v>236</v>
      </c>
      <c r="E127" t="s">
        <v>49</v>
      </c>
      <c r="F127" t="s">
        <v>70</v>
      </c>
      <c r="G127">
        <v>5</v>
      </c>
      <c r="H127">
        <v>68000</v>
      </c>
      <c r="I127">
        <v>340000</v>
      </c>
      <c r="J127" t="s">
        <v>51</v>
      </c>
      <c r="K127" t="s">
        <v>60</v>
      </c>
    </row>
    <row r="128" spans="1:11" x14ac:dyDescent="0.35">
      <c r="A128" t="s">
        <v>250</v>
      </c>
      <c r="B128" s="2">
        <v>45965</v>
      </c>
      <c r="C128" s="2"/>
      <c r="D128" t="s">
        <v>167</v>
      </c>
      <c r="E128" t="s">
        <v>83</v>
      </c>
      <c r="F128" t="s">
        <v>35</v>
      </c>
      <c r="G128">
        <v>2</v>
      </c>
      <c r="H128">
        <v>280000</v>
      </c>
      <c r="I128">
        <v>560000</v>
      </c>
      <c r="J128" t="s">
        <v>36</v>
      </c>
      <c r="K128" t="s">
        <v>60</v>
      </c>
    </row>
    <row r="129" spans="1:11" x14ac:dyDescent="0.35">
      <c r="A129" t="s">
        <v>251</v>
      </c>
      <c r="B129" s="2">
        <v>45966</v>
      </c>
      <c r="C129" s="2"/>
      <c r="D129" t="s">
        <v>39</v>
      </c>
      <c r="E129" t="s">
        <v>58</v>
      </c>
      <c r="F129" t="s">
        <v>95</v>
      </c>
      <c r="G129">
        <v>4</v>
      </c>
      <c r="H129">
        <v>95000</v>
      </c>
      <c r="I129">
        <v>380000</v>
      </c>
      <c r="J129" t="s">
        <v>31</v>
      </c>
      <c r="K129" t="s">
        <v>37</v>
      </c>
    </row>
    <row r="130" spans="1:11" x14ac:dyDescent="0.35">
      <c r="A130" t="s">
        <v>252</v>
      </c>
      <c r="B130" s="2">
        <v>45967</v>
      </c>
      <c r="C130" s="2"/>
      <c r="D130" t="s">
        <v>43</v>
      </c>
      <c r="E130" t="s">
        <v>253</v>
      </c>
      <c r="F130" t="s">
        <v>35</v>
      </c>
      <c r="G130">
        <v>2</v>
      </c>
      <c r="H130">
        <v>18000</v>
      </c>
      <c r="I130">
        <v>36000</v>
      </c>
      <c r="J130" t="s">
        <v>31</v>
      </c>
      <c r="K130" t="s">
        <v>46</v>
      </c>
    </row>
    <row r="131" spans="1:11" x14ac:dyDescent="0.35">
      <c r="A131" t="s">
        <v>254</v>
      </c>
      <c r="B131" s="2">
        <v>45968</v>
      </c>
      <c r="C131" s="2"/>
      <c r="D131" t="s">
        <v>236</v>
      </c>
      <c r="E131" t="s">
        <v>141</v>
      </c>
      <c r="F131" t="s">
        <v>55</v>
      </c>
      <c r="G131">
        <v>5</v>
      </c>
      <c r="H131">
        <v>68000</v>
      </c>
      <c r="I131">
        <v>340000</v>
      </c>
      <c r="J131" t="s">
        <v>51</v>
      </c>
      <c r="K131" t="s">
        <v>84</v>
      </c>
    </row>
    <row r="132" spans="1:11" x14ac:dyDescent="0.35">
      <c r="A132" t="s">
        <v>255</v>
      </c>
      <c r="B132" s="2">
        <v>45969</v>
      </c>
      <c r="C132" s="2"/>
      <c r="D132" t="s">
        <v>120</v>
      </c>
      <c r="E132" t="s">
        <v>175</v>
      </c>
      <c r="F132" t="s">
        <v>55</v>
      </c>
      <c r="G132">
        <v>5</v>
      </c>
      <c r="H132">
        <v>45000</v>
      </c>
      <c r="I132">
        <v>225000</v>
      </c>
      <c r="J132" t="s">
        <v>31</v>
      </c>
      <c r="K132" t="s">
        <v>84</v>
      </c>
    </row>
    <row r="133" spans="1:11" x14ac:dyDescent="0.35">
      <c r="A133" t="s">
        <v>256</v>
      </c>
      <c r="B133" s="2">
        <v>45970</v>
      </c>
      <c r="C133" s="2"/>
      <c r="D133" t="s">
        <v>131</v>
      </c>
      <c r="E133" t="s">
        <v>127</v>
      </c>
      <c r="F133" t="s">
        <v>35</v>
      </c>
      <c r="G133">
        <v>4</v>
      </c>
      <c r="H133">
        <v>365000</v>
      </c>
      <c r="I133">
        <v>1460000</v>
      </c>
      <c r="J133" t="s">
        <v>36</v>
      </c>
      <c r="K133" t="s">
        <v>46</v>
      </c>
    </row>
    <row r="134" spans="1:11" x14ac:dyDescent="0.35">
      <c r="A134" t="s">
        <v>257</v>
      </c>
      <c r="B134" s="2">
        <v>45971</v>
      </c>
      <c r="C134" s="2"/>
      <c r="D134" t="s">
        <v>28</v>
      </c>
      <c r="E134" t="s">
        <v>172</v>
      </c>
      <c r="F134" t="s">
        <v>95</v>
      </c>
      <c r="G134">
        <v>2</v>
      </c>
      <c r="H134">
        <v>280000</v>
      </c>
      <c r="I134">
        <v>560000</v>
      </c>
      <c r="J134" t="s">
        <v>36</v>
      </c>
      <c r="K134" t="s">
        <v>84</v>
      </c>
    </row>
    <row r="135" spans="1:11" x14ac:dyDescent="0.35">
      <c r="A135" t="s">
        <v>258</v>
      </c>
      <c r="B135" s="2">
        <v>45972</v>
      </c>
      <c r="C135" s="2"/>
      <c r="D135" t="s">
        <v>167</v>
      </c>
      <c r="E135" t="s">
        <v>175</v>
      </c>
      <c r="F135" t="s">
        <v>35</v>
      </c>
      <c r="G135">
        <v>5</v>
      </c>
      <c r="H135">
        <v>18000</v>
      </c>
      <c r="I135">
        <v>90000</v>
      </c>
      <c r="J135" t="s">
        <v>51</v>
      </c>
      <c r="K135" t="s">
        <v>56</v>
      </c>
    </row>
    <row r="136" spans="1:11" x14ac:dyDescent="0.35">
      <c r="A136" t="s">
        <v>259</v>
      </c>
      <c r="B136" s="2">
        <v>45973</v>
      </c>
      <c r="C136" s="2"/>
      <c r="D136" t="s">
        <v>82</v>
      </c>
      <c r="E136" t="s">
        <v>183</v>
      </c>
      <c r="F136" t="s">
        <v>70</v>
      </c>
      <c r="G136">
        <v>3</v>
      </c>
      <c r="H136">
        <v>120000</v>
      </c>
      <c r="I136">
        <v>360000</v>
      </c>
      <c r="J136" t="s">
        <v>36</v>
      </c>
      <c r="K136" t="s">
        <v>46</v>
      </c>
    </row>
    <row r="137" spans="1:11" x14ac:dyDescent="0.35">
      <c r="A137" t="s">
        <v>260</v>
      </c>
      <c r="B137" s="2">
        <v>45974</v>
      </c>
      <c r="C137" s="2"/>
      <c r="D137" t="s">
        <v>120</v>
      </c>
      <c r="E137" t="s">
        <v>103</v>
      </c>
      <c r="F137" t="s">
        <v>41</v>
      </c>
      <c r="G137">
        <v>1</v>
      </c>
      <c r="H137">
        <v>365000</v>
      </c>
      <c r="I137">
        <v>365000</v>
      </c>
      <c r="J137" t="s">
        <v>36</v>
      </c>
      <c r="K137" t="s">
        <v>37</v>
      </c>
    </row>
    <row r="138" spans="1:11" x14ac:dyDescent="0.35">
      <c r="A138" t="s">
        <v>261</v>
      </c>
      <c r="B138" s="2">
        <v>45975</v>
      </c>
      <c r="C138" s="2"/>
      <c r="D138" t="s">
        <v>106</v>
      </c>
      <c r="E138" t="s">
        <v>110</v>
      </c>
      <c r="F138" t="s">
        <v>59</v>
      </c>
      <c r="G138">
        <v>1</v>
      </c>
      <c r="H138">
        <v>185000</v>
      </c>
      <c r="I138">
        <v>185000</v>
      </c>
      <c r="J138" t="s">
        <v>51</v>
      </c>
      <c r="K138" t="s">
        <v>122</v>
      </c>
    </row>
    <row r="139" spans="1:11" x14ac:dyDescent="0.35">
      <c r="A139" t="s">
        <v>262</v>
      </c>
      <c r="B139" s="2">
        <v>45976</v>
      </c>
      <c r="C139" s="2"/>
      <c r="D139" t="s">
        <v>53</v>
      </c>
      <c r="E139" t="s">
        <v>198</v>
      </c>
      <c r="F139" t="s">
        <v>30</v>
      </c>
      <c r="G139">
        <v>1</v>
      </c>
      <c r="H139">
        <v>68000</v>
      </c>
      <c r="I139">
        <v>68000</v>
      </c>
      <c r="J139" t="s">
        <v>36</v>
      </c>
      <c r="K139" t="s">
        <v>60</v>
      </c>
    </row>
    <row r="140" spans="1:11" x14ac:dyDescent="0.35">
      <c r="A140" t="s">
        <v>263</v>
      </c>
      <c r="B140" s="2">
        <v>45977</v>
      </c>
      <c r="C140" s="2"/>
      <c r="D140" t="s">
        <v>82</v>
      </c>
      <c r="E140" t="s">
        <v>73</v>
      </c>
      <c r="F140" t="s">
        <v>59</v>
      </c>
      <c r="G140">
        <v>2</v>
      </c>
      <c r="H140">
        <v>18000</v>
      </c>
      <c r="I140">
        <v>36000</v>
      </c>
      <c r="J140" t="s">
        <v>36</v>
      </c>
      <c r="K140" t="s">
        <v>37</v>
      </c>
    </row>
    <row r="141" spans="1:11" x14ac:dyDescent="0.35">
      <c r="A141" t="s">
        <v>264</v>
      </c>
      <c r="B141" s="2">
        <v>45978</v>
      </c>
      <c r="C141" s="2"/>
      <c r="D141" t="s">
        <v>48</v>
      </c>
      <c r="E141" t="s">
        <v>158</v>
      </c>
      <c r="F141" t="s">
        <v>95</v>
      </c>
      <c r="G141">
        <v>4</v>
      </c>
      <c r="H141">
        <v>28000</v>
      </c>
      <c r="I141">
        <v>112000</v>
      </c>
      <c r="J141" t="s">
        <v>36</v>
      </c>
      <c r="K141" t="s">
        <v>32</v>
      </c>
    </row>
    <row r="142" spans="1:11" x14ac:dyDescent="0.35">
      <c r="A142" t="s">
        <v>265</v>
      </c>
      <c r="B142" s="2">
        <v>45979</v>
      </c>
      <c r="C142" s="2"/>
      <c r="D142" t="s">
        <v>72</v>
      </c>
      <c r="E142" t="s">
        <v>73</v>
      </c>
      <c r="F142" t="s">
        <v>59</v>
      </c>
      <c r="G142">
        <v>5</v>
      </c>
      <c r="H142">
        <v>95000</v>
      </c>
      <c r="I142">
        <v>475000</v>
      </c>
      <c r="J142" t="s">
        <v>31</v>
      </c>
      <c r="K142" t="s">
        <v>146</v>
      </c>
    </row>
    <row r="143" spans="1:11" x14ac:dyDescent="0.35">
      <c r="A143" t="s">
        <v>266</v>
      </c>
      <c r="B143" s="2">
        <v>45980</v>
      </c>
      <c r="C143" s="2"/>
      <c r="D143" t="s">
        <v>133</v>
      </c>
      <c r="E143" t="s">
        <v>125</v>
      </c>
      <c r="F143" t="s">
        <v>55</v>
      </c>
      <c r="G143">
        <v>3</v>
      </c>
      <c r="H143">
        <v>95000</v>
      </c>
      <c r="I143">
        <v>285000</v>
      </c>
      <c r="J143" t="s">
        <v>51</v>
      </c>
      <c r="K143" t="s">
        <v>122</v>
      </c>
    </row>
    <row r="144" spans="1:11" x14ac:dyDescent="0.35">
      <c r="A144" t="s">
        <v>267</v>
      </c>
      <c r="B144" s="2">
        <v>45981</v>
      </c>
      <c r="C144" s="2"/>
      <c r="D144" t="s">
        <v>53</v>
      </c>
      <c r="E144" t="s">
        <v>175</v>
      </c>
      <c r="F144" t="s">
        <v>45</v>
      </c>
      <c r="G144">
        <v>3</v>
      </c>
      <c r="H144">
        <v>280000</v>
      </c>
      <c r="I144">
        <v>840000</v>
      </c>
      <c r="J144" t="s">
        <v>51</v>
      </c>
      <c r="K144" t="s">
        <v>32</v>
      </c>
    </row>
    <row r="145" spans="1:11" x14ac:dyDescent="0.35">
      <c r="A145" t="s">
        <v>268</v>
      </c>
      <c r="B145" s="2">
        <v>45982</v>
      </c>
      <c r="C145" s="2"/>
      <c r="D145" t="s">
        <v>94</v>
      </c>
      <c r="E145" t="s">
        <v>269</v>
      </c>
      <c r="F145" t="s">
        <v>30</v>
      </c>
      <c r="G145">
        <v>2</v>
      </c>
      <c r="H145">
        <v>120000</v>
      </c>
      <c r="I145">
        <v>240000</v>
      </c>
      <c r="J145" t="s">
        <v>51</v>
      </c>
      <c r="K145" t="s">
        <v>60</v>
      </c>
    </row>
    <row r="146" spans="1:11" x14ac:dyDescent="0.35">
      <c r="A146" t="s">
        <v>270</v>
      </c>
      <c r="B146" s="2">
        <v>45983</v>
      </c>
      <c r="C146" s="2"/>
      <c r="D146" t="s">
        <v>94</v>
      </c>
      <c r="E146" t="s">
        <v>158</v>
      </c>
      <c r="F146" t="s">
        <v>50</v>
      </c>
      <c r="G146">
        <v>1</v>
      </c>
      <c r="H146">
        <v>280000</v>
      </c>
      <c r="I146">
        <v>280000</v>
      </c>
      <c r="J146" t="s">
        <v>31</v>
      </c>
      <c r="K146" t="s">
        <v>84</v>
      </c>
    </row>
    <row r="147" spans="1:11" x14ac:dyDescent="0.35">
      <c r="A147" t="s">
        <v>271</v>
      </c>
      <c r="B147" s="2">
        <v>45984</v>
      </c>
      <c r="C147" s="2"/>
      <c r="D147" t="s">
        <v>120</v>
      </c>
      <c r="E147" t="s">
        <v>44</v>
      </c>
      <c r="F147" t="s">
        <v>95</v>
      </c>
      <c r="G147">
        <v>2</v>
      </c>
      <c r="H147">
        <v>28000</v>
      </c>
      <c r="I147">
        <v>56000</v>
      </c>
      <c r="J147" t="s">
        <v>31</v>
      </c>
      <c r="K147" t="s">
        <v>46</v>
      </c>
    </row>
    <row r="148" spans="1:11" x14ac:dyDescent="0.35">
      <c r="A148" t="s">
        <v>272</v>
      </c>
      <c r="B148" s="2">
        <v>45985</v>
      </c>
      <c r="C148" s="2"/>
      <c r="D148" t="s">
        <v>135</v>
      </c>
      <c r="E148" t="s">
        <v>63</v>
      </c>
      <c r="F148" t="s">
        <v>30</v>
      </c>
      <c r="G148">
        <v>4</v>
      </c>
      <c r="H148">
        <v>45000</v>
      </c>
      <c r="I148">
        <v>180000</v>
      </c>
      <c r="J148" t="s">
        <v>51</v>
      </c>
      <c r="K148" t="s">
        <v>60</v>
      </c>
    </row>
    <row r="149" spans="1:11" x14ac:dyDescent="0.35">
      <c r="A149" t="s">
        <v>273</v>
      </c>
      <c r="B149" s="2">
        <v>45986</v>
      </c>
      <c r="C149" s="2"/>
      <c r="D149" t="s">
        <v>161</v>
      </c>
      <c r="E149" t="s">
        <v>198</v>
      </c>
      <c r="F149" t="s">
        <v>59</v>
      </c>
      <c r="G149">
        <v>4</v>
      </c>
      <c r="H149">
        <v>120000</v>
      </c>
      <c r="I149">
        <v>480000</v>
      </c>
      <c r="J149" t="s">
        <v>31</v>
      </c>
      <c r="K149" t="s">
        <v>37</v>
      </c>
    </row>
    <row r="150" spans="1:11" x14ac:dyDescent="0.35">
      <c r="A150" t="s">
        <v>274</v>
      </c>
      <c r="B150" s="2">
        <v>45987</v>
      </c>
      <c r="C150" s="2"/>
      <c r="D150" t="s">
        <v>138</v>
      </c>
      <c r="E150" t="s">
        <v>107</v>
      </c>
      <c r="F150" t="s">
        <v>55</v>
      </c>
      <c r="G150">
        <v>5</v>
      </c>
      <c r="H150">
        <v>540000</v>
      </c>
      <c r="I150">
        <v>2700000</v>
      </c>
      <c r="J150" t="s">
        <v>51</v>
      </c>
      <c r="K150" t="s">
        <v>146</v>
      </c>
    </row>
    <row r="151" spans="1:11" x14ac:dyDescent="0.35">
      <c r="A151" t="s">
        <v>275</v>
      </c>
      <c r="B151" s="2">
        <v>45988</v>
      </c>
      <c r="C151" s="2"/>
      <c r="D151" t="s">
        <v>28</v>
      </c>
      <c r="E151" t="s">
        <v>63</v>
      </c>
      <c r="F151" t="s">
        <v>66</v>
      </c>
      <c r="G151">
        <v>5</v>
      </c>
      <c r="H151">
        <v>45000</v>
      </c>
      <c r="I151">
        <v>225000</v>
      </c>
      <c r="J151" t="s">
        <v>31</v>
      </c>
      <c r="K151" t="s">
        <v>37</v>
      </c>
    </row>
    <row r="152" spans="1:11" x14ac:dyDescent="0.35">
      <c r="A152" t="s">
        <v>276</v>
      </c>
      <c r="B152" s="2">
        <v>45989</v>
      </c>
      <c r="C152" s="2"/>
      <c r="D152" t="s">
        <v>68</v>
      </c>
      <c r="E152" t="s">
        <v>103</v>
      </c>
      <c r="F152" t="s">
        <v>41</v>
      </c>
      <c r="G152">
        <v>4</v>
      </c>
      <c r="H152">
        <v>120000</v>
      </c>
      <c r="I152">
        <v>480000</v>
      </c>
      <c r="J152" t="s">
        <v>36</v>
      </c>
      <c r="K152" t="s">
        <v>122</v>
      </c>
    </row>
    <row r="153" spans="1:11" x14ac:dyDescent="0.35">
      <c r="A153" t="s">
        <v>277</v>
      </c>
      <c r="B153" s="2">
        <v>45990</v>
      </c>
      <c r="C153" s="2"/>
      <c r="D153" t="s">
        <v>167</v>
      </c>
      <c r="E153" t="s">
        <v>113</v>
      </c>
      <c r="F153" t="s">
        <v>50</v>
      </c>
      <c r="G153">
        <v>4</v>
      </c>
      <c r="H153">
        <v>120000</v>
      </c>
      <c r="I153">
        <v>480000</v>
      </c>
      <c r="J153" t="s">
        <v>36</v>
      </c>
      <c r="K153" t="s">
        <v>122</v>
      </c>
    </row>
    <row r="154" spans="1:11" x14ac:dyDescent="0.35">
      <c r="A154" t="s">
        <v>278</v>
      </c>
      <c r="B154" s="2">
        <v>45991</v>
      </c>
      <c r="C154" s="2"/>
      <c r="D154" t="s">
        <v>117</v>
      </c>
      <c r="E154" t="s">
        <v>158</v>
      </c>
      <c r="F154" t="s">
        <v>41</v>
      </c>
      <c r="G154">
        <v>4</v>
      </c>
      <c r="H154">
        <v>28000</v>
      </c>
      <c r="I154">
        <v>112000</v>
      </c>
      <c r="J154" t="s">
        <v>51</v>
      </c>
      <c r="K154" t="s">
        <v>146</v>
      </c>
    </row>
    <row r="155" spans="1:11" x14ac:dyDescent="0.35">
      <c r="A155" t="s">
        <v>279</v>
      </c>
      <c r="B155" s="2">
        <v>45992</v>
      </c>
      <c r="C155" s="2"/>
      <c r="D155" t="s">
        <v>28</v>
      </c>
      <c r="E155" t="s">
        <v>80</v>
      </c>
      <c r="F155" t="s">
        <v>30</v>
      </c>
      <c r="G155">
        <v>2</v>
      </c>
      <c r="H155">
        <v>185000</v>
      </c>
      <c r="I155">
        <v>370000</v>
      </c>
      <c r="J155" t="s">
        <v>31</v>
      </c>
      <c r="K155" t="s">
        <v>56</v>
      </c>
    </row>
    <row r="156" spans="1:11" x14ac:dyDescent="0.35">
      <c r="A156" t="s">
        <v>280</v>
      </c>
      <c r="B156" s="2">
        <v>45993</v>
      </c>
      <c r="C156" s="2"/>
      <c r="D156" t="s">
        <v>167</v>
      </c>
      <c r="E156" t="s">
        <v>107</v>
      </c>
      <c r="F156" t="s">
        <v>55</v>
      </c>
      <c r="G156">
        <v>4</v>
      </c>
      <c r="H156">
        <v>28000</v>
      </c>
      <c r="I156">
        <v>112000</v>
      </c>
      <c r="J156" t="s">
        <v>31</v>
      </c>
      <c r="K156" t="s">
        <v>32</v>
      </c>
    </row>
    <row r="157" spans="1:11" x14ac:dyDescent="0.35">
      <c r="A157" t="s">
        <v>281</v>
      </c>
      <c r="B157" s="2">
        <v>45994</v>
      </c>
      <c r="C157" s="2"/>
      <c r="D157" t="s">
        <v>53</v>
      </c>
      <c r="E157" t="s">
        <v>127</v>
      </c>
      <c r="F157" t="s">
        <v>55</v>
      </c>
      <c r="G157">
        <v>3</v>
      </c>
      <c r="H157">
        <v>120000</v>
      </c>
      <c r="I157">
        <v>360000</v>
      </c>
      <c r="J157" t="s">
        <v>36</v>
      </c>
      <c r="K157" t="s">
        <v>32</v>
      </c>
    </row>
    <row r="158" spans="1:11" x14ac:dyDescent="0.35">
      <c r="A158" t="s">
        <v>282</v>
      </c>
      <c r="B158" s="2">
        <v>45995</v>
      </c>
      <c r="C158" s="2"/>
      <c r="D158" t="s">
        <v>106</v>
      </c>
      <c r="E158" t="s">
        <v>73</v>
      </c>
      <c r="F158" t="s">
        <v>59</v>
      </c>
      <c r="G158">
        <v>1</v>
      </c>
      <c r="H158">
        <v>18000</v>
      </c>
      <c r="I158">
        <v>18000</v>
      </c>
      <c r="J158" t="s">
        <v>36</v>
      </c>
      <c r="K158" t="s">
        <v>122</v>
      </c>
    </row>
    <row r="159" spans="1:11" x14ac:dyDescent="0.35">
      <c r="A159" t="s">
        <v>283</v>
      </c>
      <c r="B159" s="2">
        <v>45996</v>
      </c>
      <c r="C159" s="2"/>
      <c r="D159" t="s">
        <v>102</v>
      </c>
      <c r="E159" t="s">
        <v>246</v>
      </c>
      <c r="F159" t="s">
        <v>70</v>
      </c>
      <c r="G159">
        <v>4</v>
      </c>
      <c r="H159">
        <v>45000</v>
      </c>
      <c r="I159">
        <v>180000</v>
      </c>
      <c r="J159" t="s">
        <v>31</v>
      </c>
      <c r="K159" t="s">
        <v>122</v>
      </c>
    </row>
    <row r="160" spans="1:11" x14ac:dyDescent="0.35">
      <c r="A160" t="s">
        <v>284</v>
      </c>
      <c r="B160" s="2">
        <v>45997</v>
      </c>
      <c r="C160" s="2"/>
      <c r="D160" t="s">
        <v>120</v>
      </c>
      <c r="E160" t="s">
        <v>65</v>
      </c>
      <c r="F160" t="s">
        <v>59</v>
      </c>
      <c r="G160">
        <v>1</v>
      </c>
      <c r="H160">
        <v>28000</v>
      </c>
      <c r="I160">
        <v>28000</v>
      </c>
      <c r="J160" t="s">
        <v>31</v>
      </c>
      <c r="K160" t="s">
        <v>84</v>
      </c>
    </row>
    <row r="161" spans="1:11" x14ac:dyDescent="0.35">
      <c r="A161" t="s">
        <v>285</v>
      </c>
      <c r="B161" s="2">
        <v>45998</v>
      </c>
      <c r="C161" s="2"/>
      <c r="D161" t="s">
        <v>145</v>
      </c>
      <c r="E161" t="s">
        <v>92</v>
      </c>
      <c r="F161" t="s">
        <v>70</v>
      </c>
      <c r="G161">
        <v>2</v>
      </c>
      <c r="H161">
        <v>185000</v>
      </c>
      <c r="I161">
        <v>370000</v>
      </c>
      <c r="J161" t="s">
        <v>31</v>
      </c>
      <c r="K161" t="s">
        <v>46</v>
      </c>
    </row>
    <row r="162" spans="1:11" x14ac:dyDescent="0.35">
      <c r="A162" t="s">
        <v>286</v>
      </c>
      <c r="B162" s="2">
        <v>45999</v>
      </c>
      <c r="C162" s="2"/>
      <c r="D162" t="s">
        <v>75</v>
      </c>
      <c r="E162" t="s">
        <v>158</v>
      </c>
      <c r="F162" t="s">
        <v>70</v>
      </c>
      <c r="G162">
        <v>1</v>
      </c>
      <c r="H162">
        <v>68000</v>
      </c>
      <c r="I162">
        <v>68000</v>
      </c>
      <c r="J162" t="s">
        <v>31</v>
      </c>
      <c r="K162" t="s">
        <v>84</v>
      </c>
    </row>
    <row r="163" spans="1:11" x14ac:dyDescent="0.35">
      <c r="A163" t="s">
        <v>287</v>
      </c>
      <c r="B163" s="2">
        <v>46000</v>
      </c>
      <c r="C163" s="2"/>
      <c r="D163" t="s">
        <v>75</v>
      </c>
      <c r="E163" t="s">
        <v>208</v>
      </c>
      <c r="F163" t="s">
        <v>50</v>
      </c>
      <c r="G163">
        <v>2</v>
      </c>
      <c r="H163">
        <v>280000</v>
      </c>
      <c r="I163">
        <v>560000</v>
      </c>
      <c r="J163" t="s">
        <v>31</v>
      </c>
      <c r="K163" t="s">
        <v>84</v>
      </c>
    </row>
    <row r="164" spans="1:11" x14ac:dyDescent="0.35">
      <c r="A164" t="s">
        <v>288</v>
      </c>
      <c r="B164" s="2">
        <v>46001</v>
      </c>
      <c r="C164" s="2"/>
      <c r="D164" t="s">
        <v>109</v>
      </c>
      <c r="E164" t="s">
        <v>125</v>
      </c>
      <c r="F164" t="s">
        <v>59</v>
      </c>
      <c r="G164">
        <v>3</v>
      </c>
      <c r="H164">
        <v>120000</v>
      </c>
      <c r="I164">
        <v>360000</v>
      </c>
      <c r="J164" t="s">
        <v>31</v>
      </c>
      <c r="K164" t="s">
        <v>56</v>
      </c>
    </row>
    <row r="165" spans="1:11" x14ac:dyDescent="0.35">
      <c r="A165" t="s">
        <v>289</v>
      </c>
      <c r="B165" s="2">
        <v>46002</v>
      </c>
      <c r="C165" s="2"/>
      <c r="D165" t="s">
        <v>82</v>
      </c>
      <c r="E165" t="s">
        <v>127</v>
      </c>
      <c r="F165" t="s">
        <v>66</v>
      </c>
      <c r="G165">
        <v>2</v>
      </c>
      <c r="H165">
        <v>540000</v>
      </c>
      <c r="I165">
        <v>1080000</v>
      </c>
      <c r="J165" t="s">
        <v>51</v>
      </c>
      <c r="K165" t="s">
        <v>32</v>
      </c>
    </row>
    <row r="166" spans="1:11" x14ac:dyDescent="0.35">
      <c r="A166" t="s">
        <v>290</v>
      </c>
      <c r="B166" s="2">
        <v>46003</v>
      </c>
      <c r="C166" s="2"/>
      <c r="D166" t="s">
        <v>161</v>
      </c>
      <c r="E166" t="s">
        <v>139</v>
      </c>
      <c r="F166" t="s">
        <v>35</v>
      </c>
      <c r="G166">
        <v>2</v>
      </c>
      <c r="H166">
        <v>68000</v>
      </c>
      <c r="I166">
        <v>136000</v>
      </c>
      <c r="J166" t="s">
        <v>31</v>
      </c>
      <c r="K166" t="s">
        <v>56</v>
      </c>
    </row>
    <row r="167" spans="1:11" x14ac:dyDescent="0.35">
      <c r="A167" t="s">
        <v>291</v>
      </c>
      <c r="B167" s="2">
        <v>46004</v>
      </c>
      <c r="C167" s="2"/>
      <c r="D167" t="s">
        <v>94</v>
      </c>
      <c r="E167" t="s">
        <v>80</v>
      </c>
      <c r="F167" t="s">
        <v>35</v>
      </c>
      <c r="G167">
        <v>5</v>
      </c>
      <c r="H167">
        <v>95000</v>
      </c>
      <c r="I167">
        <v>475000</v>
      </c>
      <c r="J167" t="s">
        <v>36</v>
      </c>
      <c r="K167" t="s">
        <v>56</v>
      </c>
    </row>
    <row r="168" spans="1:11" x14ac:dyDescent="0.35">
      <c r="A168" t="s">
        <v>292</v>
      </c>
      <c r="B168" s="2">
        <v>46005</v>
      </c>
      <c r="C168" s="2"/>
      <c r="D168" t="s">
        <v>106</v>
      </c>
      <c r="E168" t="s">
        <v>90</v>
      </c>
      <c r="F168" t="s">
        <v>59</v>
      </c>
      <c r="G168">
        <v>4</v>
      </c>
      <c r="H168">
        <v>365000</v>
      </c>
      <c r="I168">
        <v>1460000</v>
      </c>
      <c r="J168" t="s">
        <v>51</v>
      </c>
      <c r="K168" t="s">
        <v>146</v>
      </c>
    </row>
    <row r="169" spans="1:11" x14ac:dyDescent="0.35">
      <c r="A169" t="s">
        <v>293</v>
      </c>
      <c r="B169" s="2">
        <v>46006</v>
      </c>
      <c r="C169" s="2"/>
      <c r="D169" t="s">
        <v>53</v>
      </c>
      <c r="E169" t="s">
        <v>158</v>
      </c>
      <c r="F169" t="s">
        <v>59</v>
      </c>
      <c r="G169">
        <v>4</v>
      </c>
      <c r="H169">
        <v>185000</v>
      </c>
      <c r="I169">
        <v>740000</v>
      </c>
      <c r="J169" t="s">
        <v>31</v>
      </c>
      <c r="K169" t="s">
        <v>32</v>
      </c>
    </row>
    <row r="170" spans="1:11" x14ac:dyDescent="0.35">
      <c r="A170" t="s">
        <v>294</v>
      </c>
      <c r="B170" s="2">
        <v>46007</v>
      </c>
      <c r="C170" s="2"/>
      <c r="D170" t="s">
        <v>97</v>
      </c>
      <c r="E170" t="s">
        <v>175</v>
      </c>
      <c r="F170" t="s">
        <v>41</v>
      </c>
      <c r="G170">
        <v>3</v>
      </c>
      <c r="H170">
        <v>540000</v>
      </c>
      <c r="I170">
        <v>1620000</v>
      </c>
      <c r="J170" t="s">
        <v>36</v>
      </c>
      <c r="K170" t="s">
        <v>46</v>
      </c>
    </row>
    <row r="171" spans="1:11" x14ac:dyDescent="0.35">
      <c r="A171" t="s">
        <v>295</v>
      </c>
      <c r="B171" s="2">
        <v>46008</v>
      </c>
      <c r="C171" s="2"/>
      <c r="D171" t="s">
        <v>135</v>
      </c>
      <c r="E171" t="s">
        <v>113</v>
      </c>
      <c r="F171" t="s">
        <v>50</v>
      </c>
      <c r="G171">
        <v>3</v>
      </c>
      <c r="H171">
        <v>365000</v>
      </c>
      <c r="I171">
        <v>1095000</v>
      </c>
      <c r="J171" t="s">
        <v>51</v>
      </c>
      <c r="K171" t="s">
        <v>37</v>
      </c>
    </row>
    <row r="172" spans="1:11" x14ac:dyDescent="0.35">
      <c r="A172" t="s">
        <v>296</v>
      </c>
      <c r="B172" s="2">
        <v>46009</v>
      </c>
      <c r="C172" s="2"/>
      <c r="D172" t="s">
        <v>94</v>
      </c>
      <c r="E172" t="s">
        <v>246</v>
      </c>
      <c r="F172" t="s">
        <v>59</v>
      </c>
      <c r="G172">
        <v>4</v>
      </c>
      <c r="H172">
        <v>185000</v>
      </c>
      <c r="I172">
        <v>740000</v>
      </c>
      <c r="J172" t="s">
        <v>36</v>
      </c>
      <c r="K172" t="s">
        <v>122</v>
      </c>
    </row>
    <row r="173" spans="1:11" x14ac:dyDescent="0.35">
      <c r="A173" t="s">
        <v>297</v>
      </c>
      <c r="B173" s="2">
        <v>46010</v>
      </c>
      <c r="C173" s="2"/>
      <c r="D173" t="s">
        <v>120</v>
      </c>
      <c r="E173" t="s">
        <v>90</v>
      </c>
      <c r="F173" t="s">
        <v>41</v>
      </c>
      <c r="G173">
        <v>5</v>
      </c>
      <c r="H173">
        <v>18000</v>
      </c>
      <c r="I173">
        <v>90000</v>
      </c>
      <c r="J173" t="s">
        <v>31</v>
      </c>
      <c r="K173" t="s">
        <v>122</v>
      </c>
    </row>
    <row r="174" spans="1:11" x14ac:dyDescent="0.35">
      <c r="A174" t="s">
        <v>298</v>
      </c>
      <c r="B174" s="2">
        <v>46011</v>
      </c>
      <c r="C174" s="2"/>
      <c r="D174" t="s">
        <v>94</v>
      </c>
      <c r="E174" t="s">
        <v>113</v>
      </c>
      <c r="F174" t="s">
        <v>70</v>
      </c>
      <c r="G174">
        <v>4</v>
      </c>
      <c r="H174">
        <v>280000</v>
      </c>
      <c r="I174">
        <v>1120000</v>
      </c>
      <c r="J174" t="s">
        <v>31</v>
      </c>
      <c r="K174" t="s">
        <v>46</v>
      </c>
    </row>
    <row r="175" spans="1:11" x14ac:dyDescent="0.35">
      <c r="A175" t="s">
        <v>299</v>
      </c>
      <c r="B175" s="2">
        <v>46012</v>
      </c>
      <c r="C175" s="2"/>
      <c r="D175" t="s">
        <v>161</v>
      </c>
      <c r="E175" t="s">
        <v>110</v>
      </c>
      <c r="F175" t="s">
        <v>55</v>
      </c>
      <c r="G175">
        <v>5</v>
      </c>
      <c r="H175">
        <v>68000</v>
      </c>
      <c r="I175">
        <v>340000</v>
      </c>
      <c r="J175" t="s">
        <v>31</v>
      </c>
      <c r="K175" t="s">
        <v>56</v>
      </c>
    </row>
    <row r="176" spans="1:11" x14ac:dyDescent="0.35">
      <c r="A176" t="s">
        <v>300</v>
      </c>
      <c r="B176" s="2">
        <v>46013</v>
      </c>
      <c r="C176" s="2"/>
      <c r="D176" t="s">
        <v>43</v>
      </c>
      <c r="E176" t="s">
        <v>248</v>
      </c>
      <c r="F176" t="s">
        <v>55</v>
      </c>
      <c r="G176">
        <v>3</v>
      </c>
      <c r="H176">
        <v>45000</v>
      </c>
      <c r="I176">
        <v>135000</v>
      </c>
      <c r="J176" t="s">
        <v>31</v>
      </c>
      <c r="K176" t="s">
        <v>84</v>
      </c>
    </row>
    <row r="177" spans="1:11" x14ac:dyDescent="0.35">
      <c r="A177" t="s">
        <v>301</v>
      </c>
      <c r="B177" s="2">
        <v>46014</v>
      </c>
      <c r="C177" s="2"/>
      <c r="D177" t="s">
        <v>177</v>
      </c>
      <c r="E177" t="s">
        <v>98</v>
      </c>
      <c r="F177" t="s">
        <v>70</v>
      </c>
      <c r="G177">
        <v>1</v>
      </c>
      <c r="H177">
        <v>185000</v>
      </c>
      <c r="I177">
        <v>185000</v>
      </c>
      <c r="J177" t="s">
        <v>51</v>
      </c>
      <c r="K177" t="s">
        <v>146</v>
      </c>
    </row>
    <row r="178" spans="1:11" x14ac:dyDescent="0.35">
      <c r="A178" t="s">
        <v>302</v>
      </c>
      <c r="B178" s="2">
        <v>46015</v>
      </c>
      <c r="C178" s="2"/>
      <c r="D178" t="s">
        <v>94</v>
      </c>
      <c r="E178" t="s">
        <v>153</v>
      </c>
      <c r="F178" t="s">
        <v>95</v>
      </c>
      <c r="G178">
        <v>3</v>
      </c>
      <c r="H178">
        <v>45000</v>
      </c>
      <c r="I178">
        <v>135000</v>
      </c>
      <c r="J178" t="s">
        <v>51</v>
      </c>
      <c r="K178" t="s">
        <v>56</v>
      </c>
    </row>
    <row r="179" spans="1:11" x14ac:dyDescent="0.35">
      <c r="A179" t="s">
        <v>303</v>
      </c>
      <c r="B179" s="2">
        <v>46016</v>
      </c>
      <c r="C179" s="2"/>
      <c r="D179" t="s">
        <v>120</v>
      </c>
      <c r="E179" t="s">
        <v>188</v>
      </c>
      <c r="F179" t="s">
        <v>41</v>
      </c>
      <c r="G179">
        <v>3</v>
      </c>
      <c r="H179">
        <v>280000</v>
      </c>
      <c r="I179">
        <v>840000</v>
      </c>
      <c r="J179" t="s">
        <v>36</v>
      </c>
      <c r="K179" t="s">
        <v>122</v>
      </c>
    </row>
    <row r="180" spans="1:11" x14ac:dyDescent="0.35">
      <c r="A180" t="s">
        <v>304</v>
      </c>
      <c r="B180" s="2">
        <v>46017</v>
      </c>
      <c r="C180" s="2"/>
      <c r="D180" t="s">
        <v>161</v>
      </c>
      <c r="E180" t="s">
        <v>90</v>
      </c>
      <c r="F180" t="s">
        <v>41</v>
      </c>
      <c r="G180">
        <v>2</v>
      </c>
      <c r="H180">
        <v>120000</v>
      </c>
      <c r="I180">
        <v>240000</v>
      </c>
      <c r="J180" t="s">
        <v>31</v>
      </c>
      <c r="K180" t="s">
        <v>60</v>
      </c>
    </row>
    <row r="181" spans="1:11" x14ac:dyDescent="0.35">
      <c r="A181" t="s">
        <v>305</v>
      </c>
      <c r="B181" s="2">
        <v>46018</v>
      </c>
      <c r="C181" s="2"/>
      <c r="D181" t="s">
        <v>68</v>
      </c>
      <c r="E181" t="s">
        <v>69</v>
      </c>
      <c r="F181" t="s">
        <v>70</v>
      </c>
      <c r="G181">
        <v>2</v>
      </c>
      <c r="H181">
        <v>95000</v>
      </c>
      <c r="I181">
        <v>190000</v>
      </c>
      <c r="J181" t="s">
        <v>36</v>
      </c>
      <c r="K181" t="s">
        <v>84</v>
      </c>
    </row>
    <row r="182" spans="1:11" x14ac:dyDescent="0.35">
      <c r="A182" t="s">
        <v>306</v>
      </c>
      <c r="B182" s="2">
        <v>46019</v>
      </c>
      <c r="C182" s="2"/>
      <c r="D182" t="s">
        <v>75</v>
      </c>
      <c r="E182" t="s">
        <v>78</v>
      </c>
      <c r="F182" t="s">
        <v>66</v>
      </c>
      <c r="G182">
        <v>2</v>
      </c>
      <c r="H182">
        <v>68000</v>
      </c>
      <c r="I182">
        <v>136000</v>
      </c>
      <c r="J182" t="s">
        <v>51</v>
      </c>
      <c r="K182" t="s">
        <v>122</v>
      </c>
    </row>
    <row r="183" spans="1:11" x14ac:dyDescent="0.35">
      <c r="A183" t="s">
        <v>307</v>
      </c>
      <c r="B183" s="2">
        <v>46020</v>
      </c>
      <c r="C183" s="2"/>
      <c r="D183" t="s">
        <v>177</v>
      </c>
      <c r="E183" t="s">
        <v>40</v>
      </c>
      <c r="F183" t="s">
        <v>45</v>
      </c>
      <c r="G183">
        <v>2</v>
      </c>
      <c r="H183">
        <v>280000</v>
      </c>
      <c r="I183">
        <v>560000</v>
      </c>
      <c r="J183" t="s">
        <v>31</v>
      </c>
      <c r="K183" t="s">
        <v>60</v>
      </c>
    </row>
    <row r="184" spans="1:11" x14ac:dyDescent="0.35">
      <c r="A184" t="s">
        <v>308</v>
      </c>
      <c r="B184" s="2">
        <v>46021</v>
      </c>
      <c r="C184" s="2"/>
      <c r="D184" t="s">
        <v>28</v>
      </c>
      <c r="E184" t="s">
        <v>73</v>
      </c>
      <c r="F184" t="s">
        <v>30</v>
      </c>
      <c r="G184">
        <v>5</v>
      </c>
      <c r="H184">
        <v>280000</v>
      </c>
      <c r="I184">
        <v>1400000</v>
      </c>
      <c r="J184" t="s">
        <v>31</v>
      </c>
      <c r="K184" t="s">
        <v>56</v>
      </c>
    </row>
    <row r="185" spans="1:11" x14ac:dyDescent="0.35">
      <c r="A185" t="s">
        <v>309</v>
      </c>
      <c r="B185" s="2">
        <v>46022</v>
      </c>
      <c r="C185" s="2"/>
      <c r="D185" t="s">
        <v>135</v>
      </c>
      <c r="E185" t="s">
        <v>113</v>
      </c>
      <c r="F185" t="s">
        <v>70</v>
      </c>
      <c r="G185">
        <v>4</v>
      </c>
      <c r="H185">
        <v>18000</v>
      </c>
      <c r="I185">
        <v>72000</v>
      </c>
      <c r="J185" t="s">
        <v>51</v>
      </c>
      <c r="K185" t="s">
        <v>46</v>
      </c>
    </row>
    <row r="186" spans="1:11" x14ac:dyDescent="0.35">
      <c r="A186" t="s">
        <v>310</v>
      </c>
      <c r="B186" s="2">
        <v>46023</v>
      </c>
      <c r="C186" s="2"/>
      <c r="D186" t="s">
        <v>167</v>
      </c>
      <c r="E186" t="s">
        <v>127</v>
      </c>
      <c r="F186" t="s">
        <v>59</v>
      </c>
      <c r="G186">
        <v>1</v>
      </c>
      <c r="H186">
        <v>365000</v>
      </c>
      <c r="I186">
        <v>365000</v>
      </c>
      <c r="J186" t="s">
        <v>51</v>
      </c>
      <c r="K186" t="s">
        <v>46</v>
      </c>
    </row>
    <row r="187" spans="1:11" x14ac:dyDescent="0.35">
      <c r="A187" t="s">
        <v>311</v>
      </c>
      <c r="B187" s="2">
        <v>46024</v>
      </c>
      <c r="C187" s="2"/>
      <c r="D187" t="s">
        <v>43</v>
      </c>
      <c r="E187" t="s">
        <v>172</v>
      </c>
      <c r="F187" t="s">
        <v>59</v>
      </c>
      <c r="G187">
        <v>3</v>
      </c>
      <c r="H187">
        <v>95000</v>
      </c>
      <c r="I187">
        <v>285000</v>
      </c>
      <c r="J187" t="s">
        <v>51</v>
      </c>
      <c r="K187" t="s">
        <v>84</v>
      </c>
    </row>
    <row r="188" spans="1:11" x14ac:dyDescent="0.35">
      <c r="A188" t="s">
        <v>312</v>
      </c>
      <c r="B188" s="2">
        <v>46025</v>
      </c>
      <c r="C188" s="2"/>
      <c r="D188" t="s">
        <v>43</v>
      </c>
      <c r="E188" t="s">
        <v>175</v>
      </c>
      <c r="F188" t="s">
        <v>50</v>
      </c>
      <c r="G188">
        <v>5</v>
      </c>
      <c r="H188">
        <v>68000</v>
      </c>
      <c r="I188">
        <v>340000</v>
      </c>
      <c r="J188" t="s">
        <v>51</v>
      </c>
      <c r="K188" t="s">
        <v>122</v>
      </c>
    </row>
    <row r="189" spans="1:11" x14ac:dyDescent="0.35">
      <c r="A189" t="s">
        <v>313</v>
      </c>
      <c r="B189" s="2">
        <v>46026</v>
      </c>
      <c r="C189" s="2"/>
      <c r="D189" t="s">
        <v>68</v>
      </c>
      <c r="E189" t="s">
        <v>107</v>
      </c>
      <c r="F189" t="s">
        <v>70</v>
      </c>
      <c r="G189">
        <v>1</v>
      </c>
      <c r="H189">
        <v>120000</v>
      </c>
      <c r="I189">
        <v>120000</v>
      </c>
      <c r="J189" t="s">
        <v>51</v>
      </c>
      <c r="K189" t="s">
        <v>32</v>
      </c>
    </row>
    <row r="190" spans="1:11" x14ac:dyDescent="0.35">
      <c r="A190" t="s">
        <v>314</v>
      </c>
      <c r="B190" s="2">
        <v>46027</v>
      </c>
      <c r="C190" s="2"/>
      <c r="D190" t="s">
        <v>138</v>
      </c>
      <c r="E190" t="s">
        <v>78</v>
      </c>
      <c r="F190" t="s">
        <v>50</v>
      </c>
      <c r="G190">
        <v>5</v>
      </c>
      <c r="H190">
        <v>120000</v>
      </c>
      <c r="I190">
        <v>600000</v>
      </c>
      <c r="J190" t="s">
        <v>31</v>
      </c>
      <c r="K190" t="s">
        <v>60</v>
      </c>
    </row>
    <row r="191" spans="1:11" x14ac:dyDescent="0.35">
      <c r="A191" t="s">
        <v>315</v>
      </c>
      <c r="B191" s="2">
        <v>46028</v>
      </c>
      <c r="C191" s="2"/>
      <c r="D191" t="s">
        <v>117</v>
      </c>
      <c r="E191" t="s">
        <v>44</v>
      </c>
      <c r="F191" t="s">
        <v>70</v>
      </c>
      <c r="G191">
        <v>5</v>
      </c>
      <c r="H191">
        <v>28000</v>
      </c>
      <c r="I191">
        <v>140000</v>
      </c>
      <c r="J191" t="s">
        <v>51</v>
      </c>
      <c r="K191" t="s">
        <v>146</v>
      </c>
    </row>
    <row r="192" spans="1:11" x14ac:dyDescent="0.35">
      <c r="A192" t="s">
        <v>316</v>
      </c>
      <c r="B192" s="2">
        <v>46029</v>
      </c>
      <c r="C192" s="2"/>
      <c r="D192" t="s">
        <v>236</v>
      </c>
      <c r="E192" t="s">
        <v>58</v>
      </c>
      <c r="F192" t="s">
        <v>41</v>
      </c>
      <c r="G192">
        <v>3</v>
      </c>
      <c r="H192">
        <v>280000</v>
      </c>
      <c r="I192">
        <v>840000</v>
      </c>
      <c r="J192" t="s">
        <v>31</v>
      </c>
      <c r="K192" t="s">
        <v>122</v>
      </c>
    </row>
    <row r="193" spans="1:11" x14ac:dyDescent="0.35">
      <c r="A193" t="s">
        <v>317</v>
      </c>
      <c r="B193" s="2">
        <v>46030</v>
      </c>
      <c r="C193" s="2"/>
      <c r="D193" t="s">
        <v>72</v>
      </c>
      <c r="E193" t="s">
        <v>86</v>
      </c>
      <c r="F193" t="s">
        <v>30</v>
      </c>
      <c r="G193">
        <v>4</v>
      </c>
      <c r="H193">
        <v>185000</v>
      </c>
      <c r="I193">
        <v>740000</v>
      </c>
      <c r="J193" t="s">
        <v>31</v>
      </c>
      <c r="K193" t="s">
        <v>146</v>
      </c>
    </row>
    <row r="194" spans="1:11" x14ac:dyDescent="0.35">
      <c r="A194" t="s">
        <v>318</v>
      </c>
      <c r="B194" s="2">
        <v>46031</v>
      </c>
      <c r="C194" s="2"/>
      <c r="D194" t="s">
        <v>28</v>
      </c>
      <c r="E194" t="s">
        <v>44</v>
      </c>
      <c r="F194" t="s">
        <v>41</v>
      </c>
      <c r="G194">
        <v>2</v>
      </c>
      <c r="H194">
        <v>18000</v>
      </c>
      <c r="I194">
        <v>36000</v>
      </c>
      <c r="J194" t="s">
        <v>51</v>
      </c>
      <c r="K194" t="s">
        <v>122</v>
      </c>
    </row>
    <row r="195" spans="1:11" x14ac:dyDescent="0.35">
      <c r="A195" t="s">
        <v>319</v>
      </c>
      <c r="B195" s="2">
        <v>46032</v>
      </c>
      <c r="C195" s="2"/>
      <c r="D195" t="s">
        <v>133</v>
      </c>
      <c r="E195" t="s">
        <v>153</v>
      </c>
      <c r="F195" t="s">
        <v>45</v>
      </c>
      <c r="G195">
        <v>4</v>
      </c>
      <c r="H195">
        <v>95000</v>
      </c>
      <c r="I195">
        <v>380000</v>
      </c>
      <c r="J195" t="s">
        <v>51</v>
      </c>
      <c r="K195" t="s">
        <v>32</v>
      </c>
    </row>
    <row r="196" spans="1:11" x14ac:dyDescent="0.35">
      <c r="A196" t="s">
        <v>320</v>
      </c>
      <c r="B196" s="2">
        <v>46033</v>
      </c>
      <c r="C196" s="2"/>
      <c r="D196" t="s">
        <v>34</v>
      </c>
      <c r="E196" t="s">
        <v>188</v>
      </c>
      <c r="F196" t="s">
        <v>55</v>
      </c>
      <c r="G196">
        <v>3</v>
      </c>
      <c r="H196">
        <v>120000</v>
      </c>
      <c r="I196">
        <v>360000</v>
      </c>
      <c r="J196" t="s">
        <v>31</v>
      </c>
      <c r="K196" t="s">
        <v>32</v>
      </c>
    </row>
    <row r="197" spans="1:11" x14ac:dyDescent="0.35">
      <c r="A197" t="s">
        <v>321</v>
      </c>
      <c r="B197" s="2">
        <v>46034</v>
      </c>
      <c r="C197" s="2"/>
      <c r="D197" t="s">
        <v>39</v>
      </c>
      <c r="E197" t="s">
        <v>40</v>
      </c>
      <c r="F197" t="s">
        <v>35</v>
      </c>
      <c r="G197">
        <v>3</v>
      </c>
      <c r="H197">
        <v>68000</v>
      </c>
      <c r="I197">
        <v>204000</v>
      </c>
      <c r="J197" t="s">
        <v>51</v>
      </c>
      <c r="K197" t="s">
        <v>84</v>
      </c>
    </row>
    <row r="198" spans="1:11" x14ac:dyDescent="0.35">
      <c r="A198" t="s">
        <v>322</v>
      </c>
      <c r="B198" s="2">
        <v>46035</v>
      </c>
      <c r="C198" s="2"/>
      <c r="D198" t="s">
        <v>88</v>
      </c>
      <c r="E198" t="s">
        <v>73</v>
      </c>
      <c r="F198" t="s">
        <v>70</v>
      </c>
      <c r="G198">
        <v>3</v>
      </c>
      <c r="H198">
        <v>28000</v>
      </c>
      <c r="I198">
        <v>84000</v>
      </c>
      <c r="J198" t="s">
        <v>51</v>
      </c>
      <c r="K198" t="s">
        <v>84</v>
      </c>
    </row>
    <row r="199" spans="1:11" x14ac:dyDescent="0.35">
      <c r="A199" t="s">
        <v>323</v>
      </c>
      <c r="B199" s="2">
        <v>46036</v>
      </c>
      <c r="C199" s="2"/>
      <c r="D199" t="s">
        <v>109</v>
      </c>
      <c r="E199" t="s">
        <v>107</v>
      </c>
      <c r="F199" t="s">
        <v>45</v>
      </c>
      <c r="G199">
        <v>1</v>
      </c>
      <c r="H199">
        <v>68000</v>
      </c>
      <c r="I199">
        <v>68000</v>
      </c>
      <c r="J199" t="s">
        <v>51</v>
      </c>
      <c r="K199" t="s">
        <v>32</v>
      </c>
    </row>
    <row r="200" spans="1:11" x14ac:dyDescent="0.35">
      <c r="A200" t="s">
        <v>324</v>
      </c>
      <c r="B200" s="2">
        <v>46037</v>
      </c>
      <c r="C200" s="2"/>
      <c r="D200" t="s">
        <v>161</v>
      </c>
      <c r="E200" t="s">
        <v>141</v>
      </c>
      <c r="F200" t="s">
        <v>55</v>
      </c>
      <c r="G200">
        <v>4</v>
      </c>
      <c r="H200">
        <v>18000</v>
      </c>
      <c r="I200">
        <v>72000</v>
      </c>
      <c r="J200" t="s">
        <v>36</v>
      </c>
      <c r="K200" t="s">
        <v>37</v>
      </c>
    </row>
    <row r="201" spans="1:11" x14ac:dyDescent="0.35">
      <c r="A201" t="s">
        <v>325</v>
      </c>
      <c r="B201" s="2">
        <v>46038</v>
      </c>
      <c r="C201" s="2"/>
      <c r="D201" t="s">
        <v>75</v>
      </c>
      <c r="E201" t="s">
        <v>216</v>
      </c>
      <c r="F201" t="s">
        <v>95</v>
      </c>
      <c r="G201">
        <v>4</v>
      </c>
      <c r="H201">
        <v>185000</v>
      </c>
      <c r="I201">
        <v>740000</v>
      </c>
      <c r="J201" t="s">
        <v>31</v>
      </c>
      <c r="K201" t="s">
        <v>32</v>
      </c>
    </row>
    <row r="202" spans="1:11" x14ac:dyDescent="0.35">
      <c r="A202" t="s">
        <v>326</v>
      </c>
      <c r="B202" s="2">
        <v>46039</v>
      </c>
      <c r="C202" s="2"/>
      <c r="D202" t="s">
        <v>28</v>
      </c>
      <c r="E202" t="s">
        <v>253</v>
      </c>
      <c r="F202" t="s">
        <v>30</v>
      </c>
      <c r="G202">
        <v>5</v>
      </c>
      <c r="H202">
        <v>28000</v>
      </c>
      <c r="I202">
        <v>140000</v>
      </c>
      <c r="J202" t="s">
        <v>36</v>
      </c>
      <c r="K202" t="s">
        <v>46</v>
      </c>
    </row>
    <row r="203" spans="1:11" x14ac:dyDescent="0.35">
      <c r="A203" t="s">
        <v>327</v>
      </c>
      <c r="B203" s="2">
        <v>46040</v>
      </c>
      <c r="C203" s="2"/>
      <c r="D203" t="s">
        <v>236</v>
      </c>
      <c r="E203" t="s">
        <v>269</v>
      </c>
      <c r="F203" t="s">
        <v>50</v>
      </c>
      <c r="G203">
        <v>5</v>
      </c>
      <c r="H203">
        <v>28000</v>
      </c>
      <c r="I203">
        <v>140000</v>
      </c>
      <c r="J203" t="s">
        <v>51</v>
      </c>
      <c r="K203" t="s">
        <v>46</v>
      </c>
    </row>
    <row r="204" spans="1:11" x14ac:dyDescent="0.35">
      <c r="A204" t="s">
        <v>328</v>
      </c>
      <c r="B204" s="2">
        <v>46041</v>
      </c>
      <c r="C204" s="2"/>
      <c r="D204" t="s">
        <v>43</v>
      </c>
      <c r="E204" t="s">
        <v>69</v>
      </c>
      <c r="F204" t="s">
        <v>50</v>
      </c>
      <c r="G204">
        <v>5</v>
      </c>
      <c r="H204">
        <v>365000</v>
      </c>
      <c r="I204">
        <v>1825000</v>
      </c>
      <c r="J204" t="s">
        <v>36</v>
      </c>
      <c r="K204" t="s">
        <v>37</v>
      </c>
    </row>
    <row r="205" spans="1:11" x14ac:dyDescent="0.35">
      <c r="A205" t="s">
        <v>329</v>
      </c>
      <c r="B205" s="2">
        <v>46042</v>
      </c>
      <c r="C205" s="2"/>
      <c r="D205" t="s">
        <v>48</v>
      </c>
      <c r="E205" t="s">
        <v>113</v>
      </c>
      <c r="F205" t="s">
        <v>41</v>
      </c>
      <c r="G205">
        <v>3</v>
      </c>
      <c r="H205">
        <v>95000</v>
      </c>
      <c r="I205">
        <v>285000</v>
      </c>
      <c r="J205" t="s">
        <v>51</v>
      </c>
      <c r="K205" t="s">
        <v>56</v>
      </c>
    </row>
    <row r="206" spans="1:11" x14ac:dyDescent="0.35">
      <c r="A206" t="s">
        <v>330</v>
      </c>
      <c r="B206" s="2">
        <v>46043</v>
      </c>
      <c r="C206" s="2"/>
      <c r="D206" t="s">
        <v>39</v>
      </c>
      <c r="E206" t="s">
        <v>110</v>
      </c>
      <c r="F206" t="s">
        <v>59</v>
      </c>
      <c r="G206">
        <v>4</v>
      </c>
      <c r="H206">
        <v>28000</v>
      </c>
      <c r="I206">
        <v>112000</v>
      </c>
      <c r="J206" t="s">
        <v>36</v>
      </c>
      <c r="K206" t="s">
        <v>60</v>
      </c>
    </row>
    <row r="207" spans="1:11" x14ac:dyDescent="0.35">
      <c r="A207" t="s">
        <v>331</v>
      </c>
      <c r="B207" s="2">
        <v>46044</v>
      </c>
      <c r="C207" s="2"/>
      <c r="D207" t="s">
        <v>88</v>
      </c>
      <c r="E207" t="s">
        <v>183</v>
      </c>
      <c r="F207" t="s">
        <v>55</v>
      </c>
      <c r="G207">
        <v>3</v>
      </c>
      <c r="H207">
        <v>365000</v>
      </c>
      <c r="I207">
        <v>1095000</v>
      </c>
      <c r="J207" t="s">
        <v>51</v>
      </c>
      <c r="K207" t="s">
        <v>56</v>
      </c>
    </row>
    <row r="208" spans="1:11" x14ac:dyDescent="0.35">
      <c r="A208" t="s">
        <v>332</v>
      </c>
      <c r="B208" s="2">
        <v>46045</v>
      </c>
      <c r="C208" s="2"/>
      <c r="D208" t="s">
        <v>236</v>
      </c>
      <c r="E208" t="s">
        <v>29</v>
      </c>
      <c r="F208" t="s">
        <v>95</v>
      </c>
      <c r="G208">
        <v>1</v>
      </c>
      <c r="H208">
        <v>365000</v>
      </c>
      <c r="I208">
        <v>365000</v>
      </c>
      <c r="J208" t="s">
        <v>36</v>
      </c>
      <c r="K208" t="s">
        <v>146</v>
      </c>
    </row>
    <row r="209" spans="1:11" x14ac:dyDescent="0.35">
      <c r="A209" t="s">
        <v>333</v>
      </c>
      <c r="B209" s="2">
        <v>46046</v>
      </c>
      <c r="C209" s="2"/>
      <c r="D209" t="s">
        <v>28</v>
      </c>
      <c r="E209" t="s">
        <v>92</v>
      </c>
      <c r="F209" t="s">
        <v>45</v>
      </c>
      <c r="G209">
        <v>5</v>
      </c>
      <c r="H209">
        <v>18000</v>
      </c>
      <c r="I209">
        <v>90000</v>
      </c>
      <c r="J209" t="s">
        <v>36</v>
      </c>
      <c r="K209" t="s">
        <v>56</v>
      </c>
    </row>
    <row r="210" spans="1:11" x14ac:dyDescent="0.35">
      <c r="A210" t="s">
        <v>334</v>
      </c>
      <c r="B210" s="2">
        <v>46047</v>
      </c>
      <c r="C210" s="2"/>
      <c r="D210" t="s">
        <v>135</v>
      </c>
      <c r="E210" t="s">
        <v>335</v>
      </c>
      <c r="F210" t="s">
        <v>30</v>
      </c>
      <c r="G210">
        <v>3</v>
      </c>
      <c r="H210">
        <v>45000</v>
      </c>
      <c r="I210">
        <v>135000</v>
      </c>
      <c r="J210" t="s">
        <v>36</v>
      </c>
      <c r="K210" t="s">
        <v>122</v>
      </c>
    </row>
    <row r="211" spans="1:11" x14ac:dyDescent="0.35">
      <c r="A211" t="s">
        <v>336</v>
      </c>
      <c r="B211" s="2">
        <v>46048</v>
      </c>
      <c r="C211" s="2"/>
      <c r="D211" t="s">
        <v>72</v>
      </c>
      <c r="E211" t="s">
        <v>248</v>
      </c>
      <c r="F211" t="s">
        <v>55</v>
      </c>
      <c r="G211">
        <v>3</v>
      </c>
      <c r="H211">
        <v>68000</v>
      </c>
      <c r="I211">
        <v>204000</v>
      </c>
      <c r="J211" t="s">
        <v>31</v>
      </c>
      <c r="K211" t="s">
        <v>56</v>
      </c>
    </row>
    <row r="212" spans="1:11" x14ac:dyDescent="0.35">
      <c r="A212" t="s">
        <v>337</v>
      </c>
      <c r="B212" s="2">
        <v>46049</v>
      </c>
      <c r="C212" s="2"/>
      <c r="D212" t="s">
        <v>97</v>
      </c>
      <c r="E212" t="s">
        <v>162</v>
      </c>
      <c r="F212" t="s">
        <v>95</v>
      </c>
      <c r="G212">
        <v>1</v>
      </c>
      <c r="H212">
        <v>185000</v>
      </c>
      <c r="I212">
        <v>185000</v>
      </c>
      <c r="J212" t="s">
        <v>36</v>
      </c>
      <c r="K212" t="s">
        <v>122</v>
      </c>
    </row>
    <row r="213" spans="1:11" x14ac:dyDescent="0.35">
      <c r="A213" t="s">
        <v>338</v>
      </c>
      <c r="B213" s="2">
        <v>46050</v>
      </c>
      <c r="C213" s="2"/>
      <c r="D213" t="s">
        <v>117</v>
      </c>
      <c r="E213" t="s">
        <v>80</v>
      </c>
      <c r="F213" t="s">
        <v>35</v>
      </c>
      <c r="G213">
        <v>2</v>
      </c>
      <c r="H213">
        <v>540000</v>
      </c>
      <c r="I213">
        <v>1080000</v>
      </c>
      <c r="J213" t="s">
        <v>31</v>
      </c>
      <c r="K213" t="s">
        <v>37</v>
      </c>
    </row>
    <row r="214" spans="1:11" x14ac:dyDescent="0.35">
      <c r="A214" t="s">
        <v>339</v>
      </c>
      <c r="B214" s="2">
        <v>46051</v>
      </c>
      <c r="C214" s="2"/>
      <c r="D214" t="s">
        <v>102</v>
      </c>
      <c r="E214" t="s">
        <v>76</v>
      </c>
      <c r="F214" t="s">
        <v>70</v>
      </c>
      <c r="G214">
        <v>4</v>
      </c>
      <c r="H214">
        <v>68000</v>
      </c>
      <c r="I214">
        <v>272000</v>
      </c>
      <c r="J214" t="s">
        <v>51</v>
      </c>
      <c r="K214" t="s">
        <v>46</v>
      </c>
    </row>
    <row r="215" spans="1:11" x14ac:dyDescent="0.35">
      <c r="A215" t="s">
        <v>340</v>
      </c>
      <c r="B215" s="2">
        <v>46052</v>
      </c>
      <c r="C215" s="2"/>
      <c r="D215" t="s">
        <v>138</v>
      </c>
      <c r="E215" t="s">
        <v>86</v>
      </c>
      <c r="F215" t="s">
        <v>50</v>
      </c>
      <c r="G215">
        <v>2</v>
      </c>
      <c r="H215">
        <v>28000</v>
      </c>
      <c r="I215">
        <v>56000</v>
      </c>
      <c r="J215" t="s">
        <v>36</v>
      </c>
      <c r="K215" t="s">
        <v>84</v>
      </c>
    </row>
    <row r="216" spans="1:11" x14ac:dyDescent="0.35">
      <c r="A216" t="s">
        <v>341</v>
      </c>
      <c r="B216" s="2">
        <v>46053</v>
      </c>
      <c r="C216" s="2"/>
      <c r="D216" t="s">
        <v>236</v>
      </c>
      <c r="E216" t="s">
        <v>110</v>
      </c>
      <c r="F216" t="s">
        <v>45</v>
      </c>
      <c r="G216">
        <v>5</v>
      </c>
      <c r="H216">
        <v>185000</v>
      </c>
      <c r="I216">
        <v>925000</v>
      </c>
      <c r="J216" t="s">
        <v>51</v>
      </c>
      <c r="K216" t="s">
        <v>122</v>
      </c>
    </row>
    <row r="217" spans="1:11" x14ac:dyDescent="0.35">
      <c r="A217" t="s">
        <v>342</v>
      </c>
      <c r="B217" s="2">
        <v>46054</v>
      </c>
      <c r="C217" s="2"/>
      <c r="D217" t="s">
        <v>109</v>
      </c>
      <c r="E217" t="s">
        <v>83</v>
      </c>
      <c r="F217" t="s">
        <v>50</v>
      </c>
      <c r="G217">
        <v>3</v>
      </c>
      <c r="H217">
        <v>120000</v>
      </c>
      <c r="I217">
        <v>360000</v>
      </c>
      <c r="J217" t="s">
        <v>51</v>
      </c>
      <c r="K217" t="s">
        <v>46</v>
      </c>
    </row>
    <row r="218" spans="1:11" x14ac:dyDescent="0.35">
      <c r="A218" t="s">
        <v>343</v>
      </c>
      <c r="B218" s="2">
        <v>46055</v>
      </c>
      <c r="C218" s="2"/>
      <c r="D218" t="s">
        <v>131</v>
      </c>
      <c r="E218" t="s">
        <v>206</v>
      </c>
      <c r="F218" t="s">
        <v>45</v>
      </c>
      <c r="G218">
        <v>1</v>
      </c>
      <c r="H218">
        <v>45000</v>
      </c>
      <c r="I218">
        <v>45000</v>
      </c>
      <c r="J218" t="s">
        <v>36</v>
      </c>
      <c r="K218" t="s">
        <v>60</v>
      </c>
    </row>
    <row r="219" spans="1:11" x14ac:dyDescent="0.35">
      <c r="A219" t="s">
        <v>344</v>
      </c>
      <c r="B219" s="2">
        <v>46056</v>
      </c>
      <c r="C219" s="2"/>
      <c r="D219" t="s">
        <v>62</v>
      </c>
      <c r="E219" t="s">
        <v>201</v>
      </c>
      <c r="F219" t="s">
        <v>41</v>
      </c>
      <c r="G219">
        <v>1</v>
      </c>
      <c r="H219">
        <v>120000</v>
      </c>
      <c r="I219">
        <v>120000</v>
      </c>
      <c r="J219" t="s">
        <v>31</v>
      </c>
      <c r="K219" t="s">
        <v>146</v>
      </c>
    </row>
    <row r="220" spans="1:11" x14ac:dyDescent="0.35">
      <c r="A220" t="s">
        <v>345</v>
      </c>
      <c r="B220" s="2">
        <v>46057</v>
      </c>
      <c r="C220" s="2"/>
      <c r="D220" t="s">
        <v>112</v>
      </c>
      <c r="E220" t="s">
        <v>40</v>
      </c>
      <c r="F220" t="s">
        <v>59</v>
      </c>
      <c r="G220">
        <v>4</v>
      </c>
      <c r="H220">
        <v>120000</v>
      </c>
      <c r="I220">
        <v>480000</v>
      </c>
      <c r="J220" t="s">
        <v>36</v>
      </c>
      <c r="K220" t="s">
        <v>60</v>
      </c>
    </row>
    <row r="221" spans="1:11" x14ac:dyDescent="0.35">
      <c r="A221" t="s">
        <v>346</v>
      </c>
      <c r="B221" s="2">
        <v>46058</v>
      </c>
      <c r="C221" s="2"/>
      <c r="D221" t="s">
        <v>117</v>
      </c>
      <c r="E221" t="s">
        <v>141</v>
      </c>
      <c r="F221" t="s">
        <v>45</v>
      </c>
      <c r="G221">
        <v>2</v>
      </c>
      <c r="H221">
        <v>95000</v>
      </c>
      <c r="I221">
        <v>190000</v>
      </c>
      <c r="J221" t="s">
        <v>51</v>
      </c>
      <c r="K221" t="s">
        <v>37</v>
      </c>
    </row>
    <row r="222" spans="1:11" x14ac:dyDescent="0.35">
      <c r="A222" t="s">
        <v>347</v>
      </c>
      <c r="B222" s="2">
        <v>46059</v>
      </c>
      <c r="C222" s="2"/>
      <c r="D222" t="s">
        <v>117</v>
      </c>
      <c r="E222" t="s">
        <v>103</v>
      </c>
      <c r="F222" t="s">
        <v>50</v>
      </c>
      <c r="G222">
        <v>4</v>
      </c>
      <c r="H222">
        <v>68000</v>
      </c>
      <c r="I222">
        <v>272000</v>
      </c>
      <c r="J222" t="s">
        <v>51</v>
      </c>
      <c r="K222" t="s">
        <v>56</v>
      </c>
    </row>
    <row r="223" spans="1:11" x14ac:dyDescent="0.35">
      <c r="A223" t="s">
        <v>348</v>
      </c>
      <c r="B223" s="2">
        <v>46060</v>
      </c>
      <c r="C223" s="2"/>
      <c r="D223" t="s">
        <v>106</v>
      </c>
      <c r="E223" t="s">
        <v>335</v>
      </c>
      <c r="F223" t="s">
        <v>41</v>
      </c>
      <c r="G223">
        <v>3</v>
      </c>
      <c r="H223">
        <v>540000</v>
      </c>
      <c r="I223">
        <v>1620000</v>
      </c>
      <c r="J223" t="s">
        <v>36</v>
      </c>
      <c r="K223" t="s">
        <v>56</v>
      </c>
    </row>
    <row r="224" spans="1:11" x14ac:dyDescent="0.35">
      <c r="A224" t="s">
        <v>349</v>
      </c>
      <c r="B224" s="2">
        <v>46061</v>
      </c>
      <c r="C224" s="2"/>
      <c r="D224" t="s">
        <v>106</v>
      </c>
      <c r="E224" t="s">
        <v>90</v>
      </c>
      <c r="F224" t="s">
        <v>45</v>
      </c>
      <c r="G224">
        <v>4</v>
      </c>
      <c r="H224">
        <v>18000</v>
      </c>
      <c r="I224">
        <v>72000</v>
      </c>
      <c r="J224" t="s">
        <v>31</v>
      </c>
      <c r="K224" t="s">
        <v>32</v>
      </c>
    </row>
    <row r="225" spans="1:11" x14ac:dyDescent="0.35">
      <c r="A225" t="s">
        <v>350</v>
      </c>
      <c r="B225" s="2">
        <v>46062</v>
      </c>
      <c r="C225" s="2"/>
      <c r="D225" t="s">
        <v>34</v>
      </c>
      <c r="E225" t="s">
        <v>239</v>
      </c>
      <c r="F225" t="s">
        <v>35</v>
      </c>
      <c r="G225">
        <v>1</v>
      </c>
      <c r="H225">
        <v>540000</v>
      </c>
      <c r="I225">
        <v>540000</v>
      </c>
      <c r="J225" t="s">
        <v>31</v>
      </c>
      <c r="K225" t="s">
        <v>32</v>
      </c>
    </row>
    <row r="226" spans="1:11" x14ac:dyDescent="0.35">
      <c r="A226" t="s">
        <v>351</v>
      </c>
      <c r="B226" s="2">
        <v>46063</v>
      </c>
      <c r="C226" s="2"/>
      <c r="D226" t="s">
        <v>109</v>
      </c>
      <c r="E226" t="s">
        <v>125</v>
      </c>
      <c r="F226" t="s">
        <v>59</v>
      </c>
      <c r="G226">
        <v>1</v>
      </c>
      <c r="H226">
        <v>120000</v>
      </c>
      <c r="I226">
        <v>120000</v>
      </c>
      <c r="J226" t="s">
        <v>51</v>
      </c>
      <c r="K226" t="s">
        <v>32</v>
      </c>
    </row>
    <row r="227" spans="1:11" x14ac:dyDescent="0.35">
      <c r="A227" t="s">
        <v>352</v>
      </c>
      <c r="B227" s="2">
        <v>46064</v>
      </c>
      <c r="C227" s="2"/>
      <c r="D227" t="s">
        <v>109</v>
      </c>
      <c r="E227" t="s">
        <v>58</v>
      </c>
      <c r="F227" t="s">
        <v>45</v>
      </c>
      <c r="G227">
        <v>5</v>
      </c>
      <c r="H227">
        <v>28000</v>
      </c>
      <c r="I227">
        <v>140000</v>
      </c>
      <c r="J227" t="s">
        <v>51</v>
      </c>
      <c r="K227" t="s">
        <v>60</v>
      </c>
    </row>
    <row r="228" spans="1:11" x14ac:dyDescent="0.35">
      <c r="A228" t="s">
        <v>353</v>
      </c>
      <c r="B228" s="2">
        <v>46065</v>
      </c>
      <c r="C228" s="2"/>
      <c r="D228" t="s">
        <v>48</v>
      </c>
      <c r="E228" t="s">
        <v>115</v>
      </c>
      <c r="F228" t="s">
        <v>41</v>
      </c>
      <c r="G228">
        <v>5</v>
      </c>
      <c r="H228">
        <v>45000</v>
      </c>
      <c r="I228">
        <v>225000</v>
      </c>
      <c r="J228" t="s">
        <v>31</v>
      </c>
      <c r="K228" t="s">
        <v>122</v>
      </c>
    </row>
    <row r="229" spans="1:11" x14ac:dyDescent="0.35">
      <c r="A229" t="s">
        <v>354</v>
      </c>
      <c r="B229" s="2">
        <v>46066</v>
      </c>
      <c r="C229" s="2"/>
      <c r="D229" t="s">
        <v>68</v>
      </c>
      <c r="E229" t="s">
        <v>139</v>
      </c>
      <c r="F229" t="s">
        <v>55</v>
      </c>
      <c r="G229">
        <v>3</v>
      </c>
      <c r="H229">
        <v>280000</v>
      </c>
      <c r="I229">
        <v>840000</v>
      </c>
      <c r="J229" t="s">
        <v>36</v>
      </c>
      <c r="K229" t="s">
        <v>146</v>
      </c>
    </row>
    <row r="230" spans="1:11" x14ac:dyDescent="0.35">
      <c r="A230" t="s">
        <v>355</v>
      </c>
      <c r="B230" s="2">
        <v>46067</v>
      </c>
      <c r="C230" s="2"/>
      <c r="D230" t="s">
        <v>75</v>
      </c>
      <c r="E230" t="s">
        <v>92</v>
      </c>
      <c r="F230" t="s">
        <v>66</v>
      </c>
      <c r="G230">
        <v>2</v>
      </c>
      <c r="H230">
        <v>540000</v>
      </c>
      <c r="I230">
        <v>1080000</v>
      </c>
      <c r="J230" t="s">
        <v>51</v>
      </c>
      <c r="K230" t="s">
        <v>32</v>
      </c>
    </row>
    <row r="231" spans="1:11" x14ac:dyDescent="0.35">
      <c r="A231" t="s">
        <v>356</v>
      </c>
      <c r="B231" s="2">
        <v>46068</v>
      </c>
      <c r="C231" s="2"/>
      <c r="D231" t="s">
        <v>117</v>
      </c>
      <c r="E231" t="s">
        <v>248</v>
      </c>
      <c r="F231" t="s">
        <v>95</v>
      </c>
      <c r="G231">
        <v>4</v>
      </c>
      <c r="H231">
        <v>120000</v>
      </c>
      <c r="I231">
        <v>480000</v>
      </c>
      <c r="J231" t="s">
        <v>31</v>
      </c>
      <c r="K231" t="s">
        <v>37</v>
      </c>
    </row>
    <row r="232" spans="1:11" x14ac:dyDescent="0.35">
      <c r="A232" t="s">
        <v>357</v>
      </c>
      <c r="B232" s="2">
        <v>46069</v>
      </c>
      <c r="C232" s="2"/>
      <c r="D232" t="s">
        <v>131</v>
      </c>
      <c r="E232" t="s">
        <v>127</v>
      </c>
      <c r="F232" t="s">
        <v>66</v>
      </c>
      <c r="G232">
        <v>3</v>
      </c>
      <c r="H232">
        <v>45000</v>
      </c>
      <c r="I232">
        <v>135000</v>
      </c>
      <c r="J232" t="s">
        <v>51</v>
      </c>
      <c r="K232" t="s">
        <v>37</v>
      </c>
    </row>
    <row r="233" spans="1:11" x14ac:dyDescent="0.35">
      <c r="A233" t="s">
        <v>358</v>
      </c>
      <c r="B233" s="2">
        <v>46070</v>
      </c>
      <c r="C233" s="2"/>
      <c r="D233" t="s">
        <v>28</v>
      </c>
      <c r="E233" t="s">
        <v>58</v>
      </c>
      <c r="F233" t="s">
        <v>66</v>
      </c>
      <c r="G233">
        <v>5</v>
      </c>
      <c r="H233">
        <v>185000</v>
      </c>
      <c r="I233">
        <v>925000</v>
      </c>
      <c r="J233" t="s">
        <v>36</v>
      </c>
      <c r="K233" t="s">
        <v>32</v>
      </c>
    </row>
    <row r="234" spans="1:11" x14ac:dyDescent="0.35">
      <c r="A234" t="s">
        <v>359</v>
      </c>
      <c r="B234" s="2">
        <v>46071</v>
      </c>
      <c r="C234" s="2"/>
      <c r="D234" t="s">
        <v>109</v>
      </c>
      <c r="E234" t="s">
        <v>49</v>
      </c>
      <c r="F234" t="s">
        <v>30</v>
      </c>
      <c r="G234">
        <v>4</v>
      </c>
      <c r="H234">
        <v>68000</v>
      </c>
      <c r="I234">
        <v>272000</v>
      </c>
      <c r="J234" t="s">
        <v>31</v>
      </c>
      <c r="K234" t="s">
        <v>56</v>
      </c>
    </row>
    <row r="235" spans="1:11" x14ac:dyDescent="0.35">
      <c r="A235" t="s">
        <v>360</v>
      </c>
      <c r="B235" s="2">
        <v>46072</v>
      </c>
      <c r="C235" s="2"/>
      <c r="D235" t="s">
        <v>120</v>
      </c>
      <c r="E235" t="s">
        <v>175</v>
      </c>
      <c r="F235" t="s">
        <v>35</v>
      </c>
      <c r="G235">
        <v>5</v>
      </c>
      <c r="H235">
        <v>365000</v>
      </c>
      <c r="I235">
        <v>1825000</v>
      </c>
      <c r="J235" t="s">
        <v>51</v>
      </c>
      <c r="K235" t="s">
        <v>32</v>
      </c>
    </row>
    <row r="236" spans="1:11" x14ac:dyDescent="0.35">
      <c r="A236" t="s">
        <v>361</v>
      </c>
      <c r="B236" s="2">
        <v>46073</v>
      </c>
      <c r="C236" s="2"/>
      <c r="D236" t="s">
        <v>120</v>
      </c>
      <c r="E236" t="s">
        <v>54</v>
      </c>
      <c r="F236" t="s">
        <v>55</v>
      </c>
      <c r="G236">
        <v>4</v>
      </c>
      <c r="H236">
        <v>95000</v>
      </c>
      <c r="I236">
        <v>380000</v>
      </c>
      <c r="J236" t="s">
        <v>36</v>
      </c>
      <c r="K236" t="s">
        <v>146</v>
      </c>
    </row>
    <row r="237" spans="1:11" x14ac:dyDescent="0.35">
      <c r="A237" t="s">
        <v>362</v>
      </c>
      <c r="B237" s="2">
        <v>46074</v>
      </c>
      <c r="C237" s="2"/>
      <c r="D237" t="s">
        <v>131</v>
      </c>
      <c r="E237" t="s">
        <v>188</v>
      </c>
      <c r="F237" t="s">
        <v>70</v>
      </c>
      <c r="G237">
        <v>2</v>
      </c>
      <c r="H237">
        <v>45000</v>
      </c>
      <c r="I237">
        <v>90000</v>
      </c>
      <c r="J237" t="s">
        <v>51</v>
      </c>
      <c r="K237" t="s">
        <v>32</v>
      </c>
    </row>
    <row r="238" spans="1:11" x14ac:dyDescent="0.35">
      <c r="A238" t="s">
        <v>363</v>
      </c>
      <c r="B238" s="2">
        <v>46075</v>
      </c>
      <c r="C238" s="2"/>
      <c r="D238" t="s">
        <v>135</v>
      </c>
      <c r="E238" t="s">
        <v>90</v>
      </c>
      <c r="F238" t="s">
        <v>45</v>
      </c>
      <c r="G238">
        <v>3</v>
      </c>
      <c r="H238">
        <v>28000</v>
      </c>
      <c r="I238">
        <v>84000</v>
      </c>
      <c r="J238" t="s">
        <v>36</v>
      </c>
      <c r="K238" t="s">
        <v>146</v>
      </c>
    </row>
    <row r="239" spans="1:11" x14ac:dyDescent="0.35">
      <c r="A239" t="s">
        <v>364</v>
      </c>
      <c r="B239" s="2">
        <v>46076</v>
      </c>
      <c r="C239" s="2"/>
      <c r="D239" t="s">
        <v>109</v>
      </c>
      <c r="E239" t="s">
        <v>29</v>
      </c>
      <c r="F239" t="s">
        <v>95</v>
      </c>
      <c r="G239">
        <v>4</v>
      </c>
      <c r="H239">
        <v>28000</v>
      </c>
      <c r="I239">
        <v>112000</v>
      </c>
      <c r="J239" t="s">
        <v>36</v>
      </c>
      <c r="K239" t="s">
        <v>37</v>
      </c>
    </row>
    <row r="240" spans="1:11" x14ac:dyDescent="0.35">
      <c r="A240" t="s">
        <v>365</v>
      </c>
      <c r="B240" s="2">
        <v>46077</v>
      </c>
      <c r="C240" s="2"/>
      <c r="D240" t="s">
        <v>131</v>
      </c>
      <c r="E240" t="s">
        <v>44</v>
      </c>
      <c r="F240" t="s">
        <v>59</v>
      </c>
      <c r="G240">
        <v>1</v>
      </c>
      <c r="H240">
        <v>45000</v>
      </c>
      <c r="I240">
        <v>45000</v>
      </c>
      <c r="J240" t="s">
        <v>31</v>
      </c>
      <c r="K240" t="s">
        <v>32</v>
      </c>
    </row>
    <row r="241" spans="1:11" x14ac:dyDescent="0.35">
      <c r="A241" t="s">
        <v>366</v>
      </c>
      <c r="B241" s="2">
        <v>46078</v>
      </c>
      <c r="C241" s="2"/>
      <c r="D241" t="s">
        <v>34</v>
      </c>
      <c r="E241" t="s">
        <v>206</v>
      </c>
      <c r="F241" t="s">
        <v>55</v>
      </c>
      <c r="G241">
        <v>1</v>
      </c>
      <c r="H241">
        <v>28000</v>
      </c>
      <c r="I241">
        <v>28000</v>
      </c>
      <c r="J241" t="s">
        <v>36</v>
      </c>
      <c r="K241" t="s">
        <v>60</v>
      </c>
    </row>
    <row r="242" spans="1:11" x14ac:dyDescent="0.35">
      <c r="A242" t="s">
        <v>367</v>
      </c>
      <c r="B242" s="2">
        <v>46079</v>
      </c>
      <c r="C242" s="2"/>
      <c r="D242" t="s">
        <v>236</v>
      </c>
      <c r="E242" t="s">
        <v>183</v>
      </c>
      <c r="F242" t="s">
        <v>50</v>
      </c>
      <c r="G242">
        <v>4</v>
      </c>
      <c r="H242">
        <v>68000</v>
      </c>
      <c r="I242">
        <v>272000</v>
      </c>
      <c r="J242" t="s">
        <v>51</v>
      </c>
      <c r="K242" t="s">
        <v>84</v>
      </c>
    </row>
    <row r="243" spans="1:11" x14ac:dyDescent="0.35">
      <c r="A243" t="s">
        <v>368</v>
      </c>
      <c r="B243" s="2">
        <v>46080</v>
      </c>
      <c r="C243" s="2"/>
      <c r="D243" t="s">
        <v>167</v>
      </c>
      <c r="E243" t="s">
        <v>100</v>
      </c>
      <c r="F243" t="s">
        <v>70</v>
      </c>
      <c r="G243">
        <v>4</v>
      </c>
      <c r="H243">
        <v>28000</v>
      </c>
      <c r="I243">
        <v>112000</v>
      </c>
      <c r="J243" t="s">
        <v>36</v>
      </c>
      <c r="K243" t="s">
        <v>60</v>
      </c>
    </row>
    <row r="244" spans="1:11" x14ac:dyDescent="0.35">
      <c r="A244" t="s">
        <v>369</v>
      </c>
      <c r="B244" s="2">
        <v>46081</v>
      </c>
      <c r="C244" s="2"/>
      <c r="D244" t="s">
        <v>94</v>
      </c>
      <c r="E244" t="s">
        <v>90</v>
      </c>
      <c r="F244" t="s">
        <v>30</v>
      </c>
      <c r="G244">
        <v>4</v>
      </c>
      <c r="H244">
        <v>540000</v>
      </c>
      <c r="I244">
        <v>2160000</v>
      </c>
      <c r="J244" t="s">
        <v>36</v>
      </c>
      <c r="K244" t="s">
        <v>37</v>
      </c>
    </row>
    <row r="245" spans="1:11" x14ac:dyDescent="0.35">
      <c r="A245" t="s">
        <v>370</v>
      </c>
      <c r="B245" s="2">
        <v>46082</v>
      </c>
      <c r="C245" s="2"/>
      <c r="D245" t="s">
        <v>28</v>
      </c>
      <c r="E245" t="s">
        <v>44</v>
      </c>
      <c r="F245" t="s">
        <v>30</v>
      </c>
      <c r="G245">
        <v>1</v>
      </c>
      <c r="H245">
        <v>365000</v>
      </c>
      <c r="I245">
        <v>365000</v>
      </c>
      <c r="J245" t="s">
        <v>31</v>
      </c>
      <c r="K245" t="s">
        <v>146</v>
      </c>
    </row>
    <row r="246" spans="1:11" x14ac:dyDescent="0.35">
      <c r="A246" t="s">
        <v>371</v>
      </c>
      <c r="B246" s="2">
        <v>46083</v>
      </c>
      <c r="C246" s="2"/>
      <c r="D246" t="s">
        <v>112</v>
      </c>
      <c r="E246" t="s">
        <v>143</v>
      </c>
      <c r="F246" t="s">
        <v>55</v>
      </c>
      <c r="G246">
        <v>1</v>
      </c>
      <c r="H246">
        <v>28000</v>
      </c>
      <c r="I246">
        <v>28000</v>
      </c>
      <c r="J246" t="s">
        <v>36</v>
      </c>
      <c r="K246" t="s">
        <v>60</v>
      </c>
    </row>
    <row r="247" spans="1:11" x14ac:dyDescent="0.35">
      <c r="A247" t="s">
        <v>372</v>
      </c>
      <c r="B247" s="2">
        <v>46084</v>
      </c>
      <c r="C247" s="2"/>
      <c r="D247" t="s">
        <v>53</v>
      </c>
      <c r="E247" t="s">
        <v>58</v>
      </c>
      <c r="F247" t="s">
        <v>41</v>
      </c>
      <c r="G247">
        <v>4</v>
      </c>
      <c r="H247">
        <v>365000</v>
      </c>
      <c r="I247">
        <v>1460000</v>
      </c>
      <c r="J247" t="s">
        <v>36</v>
      </c>
      <c r="K247" t="s">
        <v>146</v>
      </c>
    </row>
    <row r="248" spans="1:11" x14ac:dyDescent="0.35">
      <c r="A248" t="s">
        <v>373</v>
      </c>
      <c r="B248" s="2">
        <v>46085</v>
      </c>
      <c r="C248" s="2"/>
      <c r="D248" t="s">
        <v>135</v>
      </c>
      <c r="E248" t="s">
        <v>80</v>
      </c>
      <c r="F248" t="s">
        <v>66</v>
      </c>
      <c r="G248">
        <v>5</v>
      </c>
      <c r="H248">
        <v>120000</v>
      </c>
      <c r="I248">
        <v>600000</v>
      </c>
      <c r="J248" t="s">
        <v>51</v>
      </c>
      <c r="K248" t="s">
        <v>60</v>
      </c>
    </row>
    <row r="249" spans="1:11" x14ac:dyDescent="0.35">
      <c r="A249" t="s">
        <v>374</v>
      </c>
      <c r="B249" s="2">
        <v>46086</v>
      </c>
      <c r="C249" s="2"/>
      <c r="D249" t="s">
        <v>167</v>
      </c>
      <c r="E249" t="s">
        <v>83</v>
      </c>
      <c r="F249" t="s">
        <v>50</v>
      </c>
      <c r="G249">
        <v>5</v>
      </c>
      <c r="H249">
        <v>18000</v>
      </c>
      <c r="I249">
        <v>90000</v>
      </c>
      <c r="J249" t="s">
        <v>31</v>
      </c>
      <c r="K249" t="s">
        <v>60</v>
      </c>
    </row>
    <row r="250" spans="1:11" x14ac:dyDescent="0.35">
      <c r="A250" t="s">
        <v>375</v>
      </c>
      <c r="B250" s="2">
        <v>46087</v>
      </c>
      <c r="C250" s="2"/>
      <c r="D250" t="s">
        <v>109</v>
      </c>
      <c r="E250" t="s">
        <v>98</v>
      </c>
      <c r="F250" t="s">
        <v>30</v>
      </c>
      <c r="G250">
        <v>2</v>
      </c>
      <c r="H250">
        <v>68000</v>
      </c>
      <c r="I250">
        <v>136000</v>
      </c>
      <c r="J250" t="s">
        <v>31</v>
      </c>
      <c r="K250" t="s">
        <v>146</v>
      </c>
    </row>
    <row r="251" spans="1:11" x14ac:dyDescent="0.35">
      <c r="A251" t="s">
        <v>376</v>
      </c>
      <c r="B251" s="2">
        <v>46088</v>
      </c>
      <c r="C251" s="2"/>
      <c r="D251" t="s">
        <v>161</v>
      </c>
      <c r="E251" t="s">
        <v>208</v>
      </c>
      <c r="F251" t="s">
        <v>95</v>
      </c>
      <c r="G251">
        <v>3</v>
      </c>
      <c r="H251">
        <v>18000</v>
      </c>
      <c r="I251">
        <v>54000</v>
      </c>
      <c r="J251" t="s">
        <v>31</v>
      </c>
      <c r="K251" t="s">
        <v>122</v>
      </c>
    </row>
    <row r="252" spans="1:11" x14ac:dyDescent="0.35">
      <c r="A252" t="s">
        <v>377</v>
      </c>
      <c r="B252" s="2">
        <v>46089</v>
      </c>
      <c r="C252" s="2"/>
      <c r="D252" t="s">
        <v>120</v>
      </c>
      <c r="E252" t="s">
        <v>98</v>
      </c>
      <c r="F252" t="s">
        <v>30</v>
      </c>
      <c r="G252">
        <v>5</v>
      </c>
      <c r="H252">
        <v>120000</v>
      </c>
      <c r="I252">
        <v>600000</v>
      </c>
      <c r="J252" t="s">
        <v>36</v>
      </c>
      <c r="K252" t="s">
        <v>60</v>
      </c>
    </row>
    <row r="253" spans="1:11" x14ac:dyDescent="0.35">
      <c r="A253" t="s">
        <v>378</v>
      </c>
      <c r="B253" s="2">
        <v>46090</v>
      </c>
      <c r="C253" s="2"/>
      <c r="D253" t="s">
        <v>72</v>
      </c>
      <c r="E253" t="s">
        <v>239</v>
      </c>
      <c r="F253" t="s">
        <v>59</v>
      </c>
      <c r="G253">
        <v>1</v>
      </c>
      <c r="H253">
        <v>68000</v>
      </c>
      <c r="I253">
        <v>68000</v>
      </c>
      <c r="J253" t="s">
        <v>31</v>
      </c>
      <c r="K253" t="s">
        <v>32</v>
      </c>
    </row>
    <row r="254" spans="1:11" x14ac:dyDescent="0.35">
      <c r="A254" t="s">
        <v>379</v>
      </c>
      <c r="B254" s="2">
        <v>46091</v>
      </c>
      <c r="C254" s="2"/>
      <c r="D254" t="s">
        <v>138</v>
      </c>
      <c r="E254" t="s">
        <v>246</v>
      </c>
      <c r="F254" t="s">
        <v>45</v>
      </c>
      <c r="G254">
        <v>5</v>
      </c>
      <c r="H254">
        <v>45000</v>
      </c>
      <c r="I254">
        <v>225000</v>
      </c>
      <c r="J254" t="s">
        <v>36</v>
      </c>
      <c r="K254" t="s">
        <v>84</v>
      </c>
    </row>
    <row r="255" spans="1:11" x14ac:dyDescent="0.35">
      <c r="A255" t="s">
        <v>380</v>
      </c>
      <c r="B255" s="2">
        <v>46092</v>
      </c>
      <c r="C255" s="2"/>
      <c r="D255" t="s">
        <v>106</v>
      </c>
      <c r="E255" t="s">
        <v>44</v>
      </c>
      <c r="F255" t="s">
        <v>30</v>
      </c>
      <c r="G255">
        <v>2</v>
      </c>
      <c r="H255">
        <v>45000</v>
      </c>
      <c r="I255">
        <v>90000</v>
      </c>
      <c r="J255" t="s">
        <v>36</v>
      </c>
      <c r="K255" t="s">
        <v>37</v>
      </c>
    </row>
    <row r="256" spans="1:11" x14ac:dyDescent="0.35">
      <c r="A256" t="s">
        <v>381</v>
      </c>
      <c r="B256" s="2">
        <v>46093</v>
      </c>
      <c r="C256" s="2"/>
      <c r="D256" t="s">
        <v>82</v>
      </c>
      <c r="E256" t="s">
        <v>115</v>
      </c>
      <c r="F256" t="s">
        <v>59</v>
      </c>
      <c r="G256">
        <v>2</v>
      </c>
      <c r="H256">
        <v>365000</v>
      </c>
      <c r="I256">
        <v>730000</v>
      </c>
      <c r="J256" t="s">
        <v>51</v>
      </c>
      <c r="K256" t="s">
        <v>122</v>
      </c>
    </row>
    <row r="257" spans="1:11" x14ac:dyDescent="0.35">
      <c r="A257" t="s">
        <v>382</v>
      </c>
      <c r="B257" s="2">
        <v>46094</v>
      </c>
      <c r="C257" s="2"/>
      <c r="D257" t="s">
        <v>43</v>
      </c>
      <c r="E257" t="s">
        <v>143</v>
      </c>
      <c r="F257" t="s">
        <v>55</v>
      </c>
      <c r="G257">
        <v>3</v>
      </c>
      <c r="H257">
        <v>120000</v>
      </c>
      <c r="I257">
        <v>360000</v>
      </c>
      <c r="J257" t="s">
        <v>51</v>
      </c>
      <c r="K257" t="s">
        <v>146</v>
      </c>
    </row>
    <row r="258" spans="1:11" x14ac:dyDescent="0.35">
      <c r="A258" t="s">
        <v>383</v>
      </c>
      <c r="B258" s="2">
        <v>46095</v>
      </c>
      <c r="C258" s="2"/>
      <c r="D258" t="s">
        <v>135</v>
      </c>
      <c r="E258" t="s">
        <v>80</v>
      </c>
      <c r="F258" t="s">
        <v>55</v>
      </c>
      <c r="G258">
        <v>5</v>
      </c>
      <c r="H258">
        <v>365000</v>
      </c>
      <c r="I258">
        <v>1825000</v>
      </c>
      <c r="J258" t="s">
        <v>51</v>
      </c>
      <c r="K258" t="s">
        <v>122</v>
      </c>
    </row>
    <row r="259" spans="1:11" x14ac:dyDescent="0.35">
      <c r="A259" t="s">
        <v>384</v>
      </c>
      <c r="B259" s="2">
        <v>46096</v>
      </c>
      <c r="C259" s="2"/>
      <c r="D259" t="s">
        <v>97</v>
      </c>
      <c r="E259" t="s">
        <v>98</v>
      </c>
      <c r="F259" t="s">
        <v>70</v>
      </c>
      <c r="G259">
        <v>1</v>
      </c>
      <c r="H259">
        <v>95000</v>
      </c>
      <c r="I259">
        <v>95000</v>
      </c>
      <c r="J259" t="s">
        <v>51</v>
      </c>
      <c r="K259" t="s">
        <v>46</v>
      </c>
    </row>
    <row r="260" spans="1:11" x14ac:dyDescent="0.35">
      <c r="A260" t="s">
        <v>385</v>
      </c>
      <c r="B260" s="2">
        <v>46097</v>
      </c>
      <c r="C260" s="2"/>
      <c r="D260" t="s">
        <v>82</v>
      </c>
      <c r="E260" t="s">
        <v>158</v>
      </c>
      <c r="F260" t="s">
        <v>30</v>
      </c>
      <c r="G260">
        <v>1</v>
      </c>
      <c r="H260">
        <v>28000</v>
      </c>
      <c r="I260">
        <v>28000</v>
      </c>
      <c r="J260" t="s">
        <v>51</v>
      </c>
      <c r="K260" t="s">
        <v>46</v>
      </c>
    </row>
    <row r="261" spans="1:11" x14ac:dyDescent="0.35">
      <c r="A261" t="s">
        <v>386</v>
      </c>
      <c r="B261" s="2">
        <v>46098</v>
      </c>
      <c r="C261" s="2"/>
      <c r="D261" t="s">
        <v>167</v>
      </c>
      <c r="E261" t="s">
        <v>127</v>
      </c>
      <c r="F261" t="s">
        <v>95</v>
      </c>
      <c r="G261">
        <v>4</v>
      </c>
      <c r="H261">
        <v>280000</v>
      </c>
      <c r="I261">
        <v>1120000</v>
      </c>
      <c r="J261" t="s">
        <v>36</v>
      </c>
      <c r="K261" t="s">
        <v>60</v>
      </c>
    </row>
    <row r="262" spans="1:11" x14ac:dyDescent="0.35">
      <c r="A262" t="s">
        <v>387</v>
      </c>
      <c r="B262" s="2">
        <v>46099</v>
      </c>
      <c r="C262" s="2"/>
      <c r="D262" t="s">
        <v>34</v>
      </c>
      <c r="E262" t="s">
        <v>178</v>
      </c>
      <c r="F262" t="s">
        <v>30</v>
      </c>
      <c r="G262">
        <v>1</v>
      </c>
      <c r="H262">
        <v>95000</v>
      </c>
      <c r="I262">
        <v>95000</v>
      </c>
      <c r="J262" t="s">
        <v>36</v>
      </c>
      <c r="K262" t="s">
        <v>60</v>
      </c>
    </row>
    <row r="263" spans="1:11" x14ac:dyDescent="0.35">
      <c r="A263" t="s">
        <v>388</v>
      </c>
      <c r="B263" s="2">
        <v>46100</v>
      </c>
      <c r="C263" s="2"/>
      <c r="D263" t="s">
        <v>133</v>
      </c>
      <c r="E263" t="s">
        <v>335</v>
      </c>
      <c r="F263" t="s">
        <v>95</v>
      </c>
      <c r="G263">
        <v>3</v>
      </c>
      <c r="H263">
        <v>28000</v>
      </c>
      <c r="I263">
        <v>84000</v>
      </c>
      <c r="J263" t="s">
        <v>31</v>
      </c>
      <c r="K263" t="s">
        <v>32</v>
      </c>
    </row>
    <row r="264" spans="1:11" x14ac:dyDescent="0.35">
      <c r="A264" t="s">
        <v>389</v>
      </c>
      <c r="B264" s="2">
        <v>46101</v>
      </c>
      <c r="C264" s="2"/>
      <c r="D264" t="s">
        <v>109</v>
      </c>
      <c r="E264" t="s">
        <v>54</v>
      </c>
      <c r="F264" t="s">
        <v>35</v>
      </c>
      <c r="G264">
        <v>3</v>
      </c>
      <c r="H264">
        <v>68000</v>
      </c>
      <c r="I264">
        <v>204000</v>
      </c>
      <c r="J264" t="s">
        <v>36</v>
      </c>
      <c r="K264" t="s">
        <v>84</v>
      </c>
    </row>
    <row r="265" spans="1:11" x14ac:dyDescent="0.35">
      <c r="A265" t="s">
        <v>390</v>
      </c>
      <c r="B265" s="2">
        <v>46102</v>
      </c>
      <c r="C265" s="2"/>
      <c r="D265" t="s">
        <v>133</v>
      </c>
      <c r="E265" t="s">
        <v>29</v>
      </c>
      <c r="F265" t="s">
        <v>70</v>
      </c>
      <c r="G265">
        <v>1</v>
      </c>
      <c r="H265">
        <v>365000</v>
      </c>
      <c r="I265">
        <v>365000</v>
      </c>
      <c r="J265" t="s">
        <v>36</v>
      </c>
      <c r="K265" t="s">
        <v>37</v>
      </c>
    </row>
    <row r="266" spans="1:11" x14ac:dyDescent="0.35">
      <c r="A266" t="s">
        <v>391</v>
      </c>
      <c r="B266" s="2">
        <v>46103</v>
      </c>
      <c r="C266" s="2"/>
      <c r="D266" t="s">
        <v>68</v>
      </c>
      <c r="E266" t="s">
        <v>58</v>
      </c>
      <c r="F266" t="s">
        <v>35</v>
      </c>
      <c r="G266">
        <v>1</v>
      </c>
      <c r="H266">
        <v>68000</v>
      </c>
      <c r="I266">
        <v>68000</v>
      </c>
      <c r="J266" t="s">
        <v>51</v>
      </c>
      <c r="K266" t="s">
        <v>122</v>
      </c>
    </row>
    <row r="267" spans="1:11" x14ac:dyDescent="0.35">
      <c r="A267" t="s">
        <v>392</v>
      </c>
      <c r="B267" s="2">
        <v>46104</v>
      </c>
      <c r="C267" s="2"/>
      <c r="D267" t="s">
        <v>34</v>
      </c>
      <c r="E267" t="s">
        <v>63</v>
      </c>
      <c r="F267" t="s">
        <v>30</v>
      </c>
      <c r="G267">
        <v>4</v>
      </c>
      <c r="H267">
        <v>68000</v>
      </c>
      <c r="I267">
        <v>272000</v>
      </c>
      <c r="J267" t="s">
        <v>36</v>
      </c>
      <c r="K267" t="s">
        <v>46</v>
      </c>
    </row>
    <row r="268" spans="1:11" x14ac:dyDescent="0.35">
      <c r="A268" t="s">
        <v>393</v>
      </c>
      <c r="B268" s="2">
        <v>46105</v>
      </c>
      <c r="C268" s="2"/>
      <c r="D268" t="s">
        <v>106</v>
      </c>
      <c r="E268" t="s">
        <v>58</v>
      </c>
      <c r="F268" t="s">
        <v>70</v>
      </c>
      <c r="G268">
        <v>1</v>
      </c>
      <c r="H268">
        <v>28000</v>
      </c>
      <c r="I268">
        <v>28000</v>
      </c>
      <c r="J268" t="s">
        <v>51</v>
      </c>
      <c r="K268" t="s">
        <v>60</v>
      </c>
    </row>
    <row r="269" spans="1:11" x14ac:dyDescent="0.35">
      <c r="A269" t="s">
        <v>394</v>
      </c>
      <c r="B269" s="2">
        <v>46106</v>
      </c>
      <c r="C269" s="2"/>
      <c r="D269" t="s">
        <v>109</v>
      </c>
      <c r="E269" t="s">
        <v>69</v>
      </c>
      <c r="F269" t="s">
        <v>35</v>
      </c>
      <c r="G269">
        <v>4</v>
      </c>
      <c r="H269">
        <v>120000</v>
      </c>
      <c r="I269">
        <v>480000</v>
      </c>
      <c r="J269" t="s">
        <v>31</v>
      </c>
      <c r="K269" t="s">
        <v>56</v>
      </c>
    </row>
    <row r="270" spans="1:11" x14ac:dyDescent="0.35">
      <c r="A270" t="s">
        <v>395</v>
      </c>
      <c r="B270" s="2">
        <v>46107</v>
      </c>
      <c r="C270" s="2"/>
      <c r="D270" t="s">
        <v>28</v>
      </c>
      <c r="E270" t="s">
        <v>172</v>
      </c>
      <c r="F270" t="s">
        <v>66</v>
      </c>
      <c r="G270">
        <v>4</v>
      </c>
      <c r="H270">
        <v>28000</v>
      </c>
      <c r="I270">
        <v>112000</v>
      </c>
      <c r="J270" t="s">
        <v>31</v>
      </c>
      <c r="K270" t="s">
        <v>56</v>
      </c>
    </row>
    <row r="271" spans="1:11" x14ac:dyDescent="0.35">
      <c r="A271" t="s">
        <v>396</v>
      </c>
      <c r="B271" s="2">
        <v>46108</v>
      </c>
      <c r="C271" s="2"/>
      <c r="D271" t="s">
        <v>102</v>
      </c>
      <c r="E271" t="s">
        <v>78</v>
      </c>
      <c r="F271" t="s">
        <v>30</v>
      </c>
      <c r="G271">
        <v>1</v>
      </c>
      <c r="H271">
        <v>185000</v>
      </c>
      <c r="I271">
        <v>185000</v>
      </c>
      <c r="J271" t="s">
        <v>36</v>
      </c>
      <c r="K271" t="s">
        <v>37</v>
      </c>
    </row>
    <row r="272" spans="1:11" x14ac:dyDescent="0.35">
      <c r="A272" t="s">
        <v>397</v>
      </c>
      <c r="B272" s="2">
        <v>46109</v>
      </c>
      <c r="C272" s="2"/>
      <c r="D272" t="s">
        <v>94</v>
      </c>
      <c r="E272" t="s">
        <v>172</v>
      </c>
      <c r="F272" t="s">
        <v>35</v>
      </c>
      <c r="G272">
        <v>2</v>
      </c>
      <c r="H272">
        <v>45000</v>
      </c>
      <c r="I272">
        <v>90000</v>
      </c>
      <c r="J272" t="s">
        <v>31</v>
      </c>
      <c r="K272" t="s">
        <v>122</v>
      </c>
    </row>
    <row r="273" spans="1:11" x14ac:dyDescent="0.35">
      <c r="A273" t="s">
        <v>398</v>
      </c>
      <c r="B273" s="2">
        <v>46110</v>
      </c>
      <c r="C273" s="2"/>
      <c r="D273" t="s">
        <v>133</v>
      </c>
      <c r="E273" t="s">
        <v>253</v>
      </c>
      <c r="F273" t="s">
        <v>66</v>
      </c>
      <c r="G273">
        <v>2</v>
      </c>
      <c r="H273">
        <v>45000</v>
      </c>
      <c r="I273">
        <v>90000</v>
      </c>
      <c r="J273" t="s">
        <v>36</v>
      </c>
      <c r="K273" t="s">
        <v>60</v>
      </c>
    </row>
    <row r="274" spans="1:11" x14ac:dyDescent="0.35">
      <c r="A274" t="s">
        <v>399</v>
      </c>
      <c r="B274" s="2">
        <v>46111</v>
      </c>
      <c r="C274" s="2"/>
      <c r="D274" t="s">
        <v>161</v>
      </c>
      <c r="E274" t="s">
        <v>103</v>
      </c>
      <c r="F274" t="s">
        <v>66</v>
      </c>
      <c r="G274">
        <v>4</v>
      </c>
      <c r="H274">
        <v>95000</v>
      </c>
      <c r="I274">
        <v>380000</v>
      </c>
      <c r="J274" t="s">
        <v>31</v>
      </c>
      <c r="K274" t="s">
        <v>60</v>
      </c>
    </row>
    <row r="275" spans="1:11" x14ac:dyDescent="0.35">
      <c r="A275" t="s">
        <v>400</v>
      </c>
      <c r="B275" s="2">
        <v>46112</v>
      </c>
      <c r="C275" s="2"/>
      <c r="D275" t="s">
        <v>133</v>
      </c>
      <c r="E275" t="s">
        <v>175</v>
      </c>
      <c r="F275" t="s">
        <v>55</v>
      </c>
      <c r="G275">
        <v>1</v>
      </c>
      <c r="H275">
        <v>45000</v>
      </c>
      <c r="I275">
        <v>45000</v>
      </c>
      <c r="J275" t="s">
        <v>51</v>
      </c>
      <c r="K275" t="s">
        <v>46</v>
      </c>
    </row>
    <row r="276" spans="1:11" x14ac:dyDescent="0.35">
      <c r="A276" t="s">
        <v>401</v>
      </c>
      <c r="B276" s="2">
        <v>46113</v>
      </c>
      <c r="C276" s="2"/>
      <c r="D276" t="s">
        <v>82</v>
      </c>
      <c r="E276" t="s">
        <v>73</v>
      </c>
      <c r="F276" t="s">
        <v>30</v>
      </c>
      <c r="G276">
        <v>2</v>
      </c>
      <c r="H276">
        <v>28000</v>
      </c>
      <c r="I276">
        <v>56000</v>
      </c>
      <c r="J276" t="s">
        <v>51</v>
      </c>
      <c r="K276" t="s">
        <v>46</v>
      </c>
    </row>
    <row r="277" spans="1:11" x14ac:dyDescent="0.35">
      <c r="A277" t="s">
        <v>402</v>
      </c>
      <c r="B277" s="2">
        <v>46114</v>
      </c>
      <c r="C277" s="2"/>
      <c r="D277" t="s">
        <v>133</v>
      </c>
      <c r="E277" t="s">
        <v>90</v>
      </c>
      <c r="F277" t="s">
        <v>66</v>
      </c>
      <c r="G277">
        <v>1</v>
      </c>
      <c r="H277">
        <v>540000</v>
      </c>
      <c r="I277">
        <v>540000</v>
      </c>
      <c r="J277" t="s">
        <v>51</v>
      </c>
      <c r="K277" t="s">
        <v>60</v>
      </c>
    </row>
    <row r="278" spans="1:11" x14ac:dyDescent="0.35">
      <c r="A278" t="s">
        <v>403</v>
      </c>
      <c r="B278" s="2">
        <v>46115</v>
      </c>
      <c r="C278" s="2"/>
      <c r="D278" t="s">
        <v>135</v>
      </c>
      <c r="E278" t="s">
        <v>208</v>
      </c>
      <c r="F278" t="s">
        <v>55</v>
      </c>
      <c r="G278">
        <v>1</v>
      </c>
      <c r="H278">
        <v>365000</v>
      </c>
      <c r="I278">
        <v>365000</v>
      </c>
      <c r="J278" t="s">
        <v>51</v>
      </c>
      <c r="K278" t="s">
        <v>146</v>
      </c>
    </row>
    <row r="279" spans="1:11" x14ac:dyDescent="0.35">
      <c r="A279" t="s">
        <v>404</v>
      </c>
      <c r="B279" s="2">
        <v>46116</v>
      </c>
      <c r="C279" s="2"/>
      <c r="D279" t="s">
        <v>133</v>
      </c>
      <c r="E279" t="s">
        <v>269</v>
      </c>
      <c r="F279" t="s">
        <v>35</v>
      </c>
      <c r="G279">
        <v>1</v>
      </c>
      <c r="H279">
        <v>28000</v>
      </c>
      <c r="I279">
        <v>28000</v>
      </c>
      <c r="J279" t="s">
        <v>36</v>
      </c>
      <c r="K279" t="s">
        <v>60</v>
      </c>
    </row>
    <row r="280" spans="1:11" x14ac:dyDescent="0.35">
      <c r="A280" t="s">
        <v>405</v>
      </c>
      <c r="B280" s="2">
        <v>46117</v>
      </c>
      <c r="C280" s="2"/>
      <c r="D280" t="s">
        <v>102</v>
      </c>
      <c r="E280" t="s">
        <v>69</v>
      </c>
      <c r="F280" t="s">
        <v>59</v>
      </c>
      <c r="G280">
        <v>5</v>
      </c>
      <c r="H280">
        <v>28000</v>
      </c>
      <c r="I280">
        <v>140000</v>
      </c>
      <c r="J280" t="s">
        <v>31</v>
      </c>
      <c r="K280" t="s">
        <v>37</v>
      </c>
    </row>
    <row r="281" spans="1:11" x14ac:dyDescent="0.35">
      <c r="A281" t="s">
        <v>406</v>
      </c>
      <c r="B281" s="2">
        <v>46118</v>
      </c>
      <c r="C281" s="2"/>
      <c r="D281" t="s">
        <v>102</v>
      </c>
      <c r="E281" t="s">
        <v>246</v>
      </c>
      <c r="F281" t="s">
        <v>30</v>
      </c>
      <c r="G281">
        <v>1</v>
      </c>
      <c r="H281">
        <v>280000</v>
      </c>
      <c r="I281">
        <v>280000</v>
      </c>
      <c r="J281" t="s">
        <v>36</v>
      </c>
      <c r="K281" t="s">
        <v>60</v>
      </c>
    </row>
    <row r="282" spans="1:11" x14ac:dyDescent="0.35">
      <c r="A282" t="s">
        <v>407</v>
      </c>
      <c r="B282" s="2">
        <v>46119</v>
      </c>
      <c r="C282" s="2"/>
      <c r="D282" t="s">
        <v>117</v>
      </c>
      <c r="E282" t="s">
        <v>158</v>
      </c>
      <c r="F282" t="s">
        <v>70</v>
      </c>
      <c r="G282">
        <v>5</v>
      </c>
      <c r="H282">
        <v>365000</v>
      </c>
      <c r="I282">
        <v>1825000</v>
      </c>
      <c r="J282" t="s">
        <v>51</v>
      </c>
      <c r="K282" t="s">
        <v>32</v>
      </c>
    </row>
    <row r="283" spans="1:11" x14ac:dyDescent="0.35">
      <c r="A283" t="s">
        <v>408</v>
      </c>
      <c r="B283" s="2">
        <v>46120</v>
      </c>
      <c r="C283" s="2"/>
      <c r="D283" t="s">
        <v>97</v>
      </c>
      <c r="E283" t="s">
        <v>153</v>
      </c>
      <c r="F283" t="s">
        <v>95</v>
      </c>
      <c r="G283">
        <v>4</v>
      </c>
      <c r="H283">
        <v>185000</v>
      </c>
      <c r="I283">
        <v>740000</v>
      </c>
      <c r="J283" t="s">
        <v>36</v>
      </c>
      <c r="K283" t="s">
        <v>84</v>
      </c>
    </row>
    <row r="284" spans="1:11" x14ac:dyDescent="0.35">
      <c r="A284" t="s">
        <v>409</v>
      </c>
      <c r="B284" s="2">
        <v>46121</v>
      </c>
      <c r="C284" s="2"/>
      <c r="D284" t="s">
        <v>75</v>
      </c>
      <c r="E284" t="s">
        <v>410</v>
      </c>
      <c r="F284" t="s">
        <v>95</v>
      </c>
      <c r="G284">
        <v>2</v>
      </c>
      <c r="H284">
        <v>45000</v>
      </c>
      <c r="I284">
        <v>90000</v>
      </c>
      <c r="J284" t="s">
        <v>31</v>
      </c>
      <c r="K284" t="s">
        <v>32</v>
      </c>
    </row>
    <row r="285" spans="1:11" x14ac:dyDescent="0.35">
      <c r="A285" t="s">
        <v>411</v>
      </c>
      <c r="B285" s="2">
        <v>46122</v>
      </c>
      <c r="C285" s="2"/>
      <c r="D285" t="s">
        <v>161</v>
      </c>
      <c r="E285" t="s">
        <v>188</v>
      </c>
      <c r="F285" t="s">
        <v>35</v>
      </c>
      <c r="G285">
        <v>2</v>
      </c>
      <c r="H285">
        <v>365000</v>
      </c>
      <c r="I285">
        <v>730000</v>
      </c>
      <c r="J285" t="s">
        <v>36</v>
      </c>
      <c r="K285" t="s">
        <v>32</v>
      </c>
    </row>
    <row r="286" spans="1:11" x14ac:dyDescent="0.35">
      <c r="A286" t="s">
        <v>412</v>
      </c>
      <c r="B286" s="2">
        <v>46123</v>
      </c>
      <c r="C286" s="2"/>
      <c r="D286" t="s">
        <v>120</v>
      </c>
      <c r="E286" t="s">
        <v>115</v>
      </c>
      <c r="F286" t="s">
        <v>41</v>
      </c>
      <c r="G286">
        <v>2</v>
      </c>
      <c r="H286">
        <v>45000</v>
      </c>
      <c r="I286">
        <v>90000</v>
      </c>
      <c r="J286" t="s">
        <v>31</v>
      </c>
      <c r="K286" t="s">
        <v>146</v>
      </c>
    </row>
    <row r="287" spans="1:11" x14ac:dyDescent="0.35">
      <c r="A287" t="s">
        <v>413</v>
      </c>
      <c r="B287" s="2">
        <v>46124</v>
      </c>
      <c r="C287" s="2"/>
      <c r="D287" t="s">
        <v>120</v>
      </c>
      <c r="E287" t="s">
        <v>143</v>
      </c>
      <c r="F287" t="s">
        <v>41</v>
      </c>
      <c r="G287">
        <v>2</v>
      </c>
      <c r="H287">
        <v>95000</v>
      </c>
      <c r="I287">
        <v>190000</v>
      </c>
      <c r="J287" t="s">
        <v>36</v>
      </c>
      <c r="K287" t="s">
        <v>146</v>
      </c>
    </row>
    <row r="288" spans="1:11" x14ac:dyDescent="0.35">
      <c r="A288" t="s">
        <v>414</v>
      </c>
      <c r="B288" s="2">
        <v>46125</v>
      </c>
      <c r="C288" s="2"/>
      <c r="D288" t="s">
        <v>72</v>
      </c>
      <c r="E288" t="s">
        <v>78</v>
      </c>
      <c r="F288" t="s">
        <v>35</v>
      </c>
      <c r="G288">
        <v>2</v>
      </c>
      <c r="H288">
        <v>365000</v>
      </c>
      <c r="I288">
        <v>730000</v>
      </c>
      <c r="J288" t="s">
        <v>31</v>
      </c>
      <c r="K288" t="s">
        <v>56</v>
      </c>
    </row>
    <row r="289" spans="1:11" x14ac:dyDescent="0.35">
      <c r="A289" t="s">
        <v>415</v>
      </c>
      <c r="B289" s="2">
        <v>46126</v>
      </c>
      <c r="C289" s="2"/>
      <c r="D289" t="s">
        <v>109</v>
      </c>
      <c r="E289" t="s">
        <v>107</v>
      </c>
      <c r="F289" t="s">
        <v>66</v>
      </c>
      <c r="G289">
        <v>2</v>
      </c>
      <c r="H289">
        <v>45000</v>
      </c>
      <c r="I289">
        <v>90000</v>
      </c>
      <c r="J289" t="s">
        <v>31</v>
      </c>
      <c r="K289" t="s">
        <v>60</v>
      </c>
    </row>
    <row r="290" spans="1:11" x14ac:dyDescent="0.35">
      <c r="A290" t="s">
        <v>416</v>
      </c>
      <c r="B290" s="2">
        <v>46127</v>
      </c>
      <c r="C290" s="2"/>
      <c r="D290" t="s">
        <v>102</v>
      </c>
      <c r="E290" t="s">
        <v>253</v>
      </c>
      <c r="F290" t="s">
        <v>30</v>
      </c>
      <c r="G290">
        <v>2</v>
      </c>
      <c r="H290">
        <v>185000</v>
      </c>
      <c r="I290">
        <v>370000</v>
      </c>
      <c r="J290" t="s">
        <v>51</v>
      </c>
      <c r="K290" t="s">
        <v>32</v>
      </c>
    </row>
    <row r="291" spans="1:11" x14ac:dyDescent="0.35">
      <c r="A291" t="s">
        <v>417</v>
      </c>
      <c r="B291" s="2">
        <v>46128</v>
      </c>
      <c r="C291" s="2"/>
      <c r="D291" t="s">
        <v>62</v>
      </c>
      <c r="E291" t="s">
        <v>113</v>
      </c>
      <c r="F291" t="s">
        <v>95</v>
      </c>
      <c r="G291">
        <v>4</v>
      </c>
      <c r="H291">
        <v>18000</v>
      </c>
      <c r="I291">
        <v>72000</v>
      </c>
      <c r="J291" t="s">
        <v>31</v>
      </c>
      <c r="K291" t="s">
        <v>146</v>
      </c>
    </row>
    <row r="292" spans="1:11" x14ac:dyDescent="0.35">
      <c r="A292" t="s">
        <v>418</v>
      </c>
      <c r="B292" s="2">
        <v>46129</v>
      </c>
      <c r="C292" s="2"/>
      <c r="D292" t="s">
        <v>106</v>
      </c>
      <c r="E292" t="s">
        <v>183</v>
      </c>
      <c r="F292" t="s">
        <v>95</v>
      </c>
      <c r="G292">
        <v>1</v>
      </c>
      <c r="H292">
        <v>68000</v>
      </c>
      <c r="I292">
        <v>68000</v>
      </c>
      <c r="J292" t="s">
        <v>51</v>
      </c>
      <c r="K292" t="s">
        <v>46</v>
      </c>
    </row>
    <row r="293" spans="1:11" x14ac:dyDescent="0.35">
      <c r="A293" t="s">
        <v>419</v>
      </c>
      <c r="B293" s="2">
        <v>46130</v>
      </c>
      <c r="C293" s="2"/>
      <c r="D293" t="s">
        <v>68</v>
      </c>
      <c r="E293" t="s">
        <v>63</v>
      </c>
      <c r="F293" t="s">
        <v>66</v>
      </c>
      <c r="G293">
        <v>3</v>
      </c>
      <c r="H293">
        <v>68000</v>
      </c>
      <c r="I293">
        <v>204000</v>
      </c>
      <c r="J293" t="s">
        <v>51</v>
      </c>
      <c r="K293" t="s">
        <v>60</v>
      </c>
    </row>
    <row r="294" spans="1:11" x14ac:dyDescent="0.35">
      <c r="A294" t="s">
        <v>420</v>
      </c>
      <c r="B294" s="2">
        <v>46131</v>
      </c>
      <c r="C294" s="2"/>
      <c r="D294" t="s">
        <v>112</v>
      </c>
      <c r="E294" t="s">
        <v>78</v>
      </c>
      <c r="F294" t="s">
        <v>95</v>
      </c>
      <c r="G294">
        <v>5</v>
      </c>
      <c r="H294">
        <v>185000</v>
      </c>
      <c r="I294">
        <v>925000</v>
      </c>
      <c r="J294" t="s">
        <v>51</v>
      </c>
      <c r="K294" t="s">
        <v>37</v>
      </c>
    </row>
    <row r="295" spans="1:11" x14ac:dyDescent="0.35">
      <c r="A295" t="s">
        <v>421</v>
      </c>
      <c r="B295" s="2">
        <v>46132</v>
      </c>
      <c r="C295" s="2"/>
      <c r="D295" t="s">
        <v>75</v>
      </c>
      <c r="E295" t="s">
        <v>239</v>
      </c>
      <c r="F295" t="s">
        <v>70</v>
      </c>
      <c r="G295">
        <v>3</v>
      </c>
      <c r="H295">
        <v>280000</v>
      </c>
      <c r="I295">
        <v>840000</v>
      </c>
      <c r="J295" t="s">
        <v>36</v>
      </c>
      <c r="K295" t="s">
        <v>84</v>
      </c>
    </row>
    <row r="296" spans="1:11" x14ac:dyDescent="0.35">
      <c r="A296" t="s">
        <v>422</v>
      </c>
      <c r="B296" s="2">
        <v>46133</v>
      </c>
      <c r="C296" s="2"/>
      <c r="D296" t="s">
        <v>88</v>
      </c>
      <c r="E296" t="s">
        <v>335</v>
      </c>
      <c r="F296" t="s">
        <v>30</v>
      </c>
      <c r="G296">
        <v>3</v>
      </c>
      <c r="H296">
        <v>18000</v>
      </c>
      <c r="I296">
        <v>54000</v>
      </c>
      <c r="J296" t="s">
        <v>36</v>
      </c>
      <c r="K296" t="s">
        <v>122</v>
      </c>
    </row>
    <row r="297" spans="1:11" x14ac:dyDescent="0.35">
      <c r="A297" t="s">
        <v>423</v>
      </c>
      <c r="B297" s="2">
        <v>46134</v>
      </c>
      <c r="C297" s="2"/>
      <c r="D297" t="s">
        <v>75</v>
      </c>
      <c r="E297" t="s">
        <v>113</v>
      </c>
      <c r="F297" t="s">
        <v>45</v>
      </c>
      <c r="G297">
        <v>1</v>
      </c>
      <c r="H297">
        <v>95000</v>
      </c>
      <c r="I297">
        <v>95000</v>
      </c>
      <c r="J297" t="s">
        <v>36</v>
      </c>
      <c r="K297" t="s">
        <v>60</v>
      </c>
    </row>
    <row r="298" spans="1:11" x14ac:dyDescent="0.35">
      <c r="A298" t="s">
        <v>424</v>
      </c>
      <c r="B298" s="2">
        <v>46135</v>
      </c>
      <c r="C298" s="2"/>
      <c r="D298" t="s">
        <v>48</v>
      </c>
      <c r="E298" t="s">
        <v>198</v>
      </c>
      <c r="F298" t="s">
        <v>95</v>
      </c>
      <c r="G298">
        <v>1</v>
      </c>
      <c r="H298">
        <v>185000</v>
      </c>
      <c r="I298">
        <v>185000</v>
      </c>
      <c r="J298" t="s">
        <v>36</v>
      </c>
      <c r="K298" t="s">
        <v>122</v>
      </c>
    </row>
    <row r="299" spans="1:11" x14ac:dyDescent="0.35">
      <c r="A299" t="s">
        <v>425</v>
      </c>
      <c r="B299" s="2">
        <v>46136</v>
      </c>
      <c r="C299" s="2"/>
      <c r="D299" t="s">
        <v>82</v>
      </c>
      <c r="E299" t="s">
        <v>98</v>
      </c>
      <c r="F299" t="s">
        <v>35</v>
      </c>
      <c r="G299">
        <v>1</v>
      </c>
      <c r="H299">
        <v>68000</v>
      </c>
      <c r="I299">
        <v>68000</v>
      </c>
      <c r="J299" t="s">
        <v>31</v>
      </c>
      <c r="K299" t="s">
        <v>32</v>
      </c>
    </row>
    <row r="300" spans="1:11" x14ac:dyDescent="0.35">
      <c r="A300" t="s">
        <v>426</v>
      </c>
      <c r="B300" s="2">
        <v>46137</v>
      </c>
      <c r="C300" s="2"/>
      <c r="D300" t="s">
        <v>135</v>
      </c>
      <c r="E300" t="s">
        <v>239</v>
      </c>
      <c r="F300" t="s">
        <v>70</v>
      </c>
      <c r="G300">
        <v>2</v>
      </c>
      <c r="H300">
        <v>68000</v>
      </c>
      <c r="I300">
        <v>136000</v>
      </c>
      <c r="J300" t="s">
        <v>31</v>
      </c>
      <c r="K300" t="s">
        <v>84</v>
      </c>
    </row>
    <row r="301" spans="1:11" x14ac:dyDescent="0.35">
      <c r="A301" t="s">
        <v>427</v>
      </c>
      <c r="B301" s="2">
        <v>46138</v>
      </c>
      <c r="C301" s="2"/>
      <c r="D301" t="s">
        <v>133</v>
      </c>
      <c r="E301" t="s">
        <v>98</v>
      </c>
      <c r="F301" t="s">
        <v>95</v>
      </c>
      <c r="G301">
        <v>4</v>
      </c>
      <c r="H301">
        <v>68000</v>
      </c>
      <c r="I301">
        <v>272000</v>
      </c>
      <c r="J301" t="s">
        <v>36</v>
      </c>
      <c r="K301" t="s">
        <v>122</v>
      </c>
    </row>
    <row r="302" spans="1:11" x14ac:dyDescent="0.35">
      <c r="A302" t="s">
        <v>428</v>
      </c>
      <c r="B302" s="2">
        <v>46139</v>
      </c>
      <c r="C302" s="2"/>
      <c r="D302" t="s">
        <v>112</v>
      </c>
      <c r="E302" t="s">
        <v>175</v>
      </c>
      <c r="F302" t="s">
        <v>70</v>
      </c>
      <c r="G302">
        <v>2</v>
      </c>
      <c r="H302">
        <v>120000</v>
      </c>
      <c r="I302">
        <v>240000</v>
      </c>
      <c r="J302" t="s">
        <v>31</v>
      </c>
      <c r="K302" t="s">
        <v>32</v>
      </c>
    </row>
    <row r="303" spans="1:11" x14ac:dyDescent="0.35">
      <c r="A303" t="s">
        <v>429</v>
      </c>
      <c r="B303" s="2">
        <v>46140</v>
      </c>
      <c r="C303" s="2"/>
      <c r="D303" t="s">
        <v>82</v>
      </c>
      <c r="E303" t="s">
        <v>100</v>
      </c>
      <c r="F303" t="s">
        <v>55</v>
      </c>
      <c r="G303">
        <v>4</v>
      </c>
      <c r="H303">
        <v>185000</v>
      </c>
      <c r="I303">
        <v>740000</v>
      </c>
      <c r="J303" t="s">
        <v>31</v>
      </c>
      <c r="K303" t="s">
        <v>46</v>
      </c>
    </row>
    <row r="304" spans="1:11" x14ac:dyDescent="0.35">
      <c r="A304" t="s">
        <v>430</v>
      </c>
      <c r="B304" s="2">
        <v>46141</v>
      </c>
      <c r="C304" s="2"/>
      <c r="D304" t="s">
        <v>161</v>
      </c>
      <c r="E304" t="s">
        <v>239</v>
      </c>
      <c r="F304" t="s">
        <v>45</v>
      </c>
      <c r="G304">
        <v>4</v>
      </c>
      <c r="H304">
        <v>28000</v>
      </c>
      <c r="I304">
        <v>112000</v>
      </c>
      <c r="J304" t="s">
        <v>51</v>
      </c>
      <c r="K304" t="s">
        <v>122</v>
      </c>
    </row>
    <row r="305" spans="1:11" x14ac:dyDescent="0.35">
      <c r="A305" t="s">
        <v>431</v>
      </c>
      <c r="B305" s="2">
        <v>46142</v>
      </c>
      <c r="C305" s="2"/>
      <c r="D305" t="s">
        <v>34</v>
      </c>
      <c r="E305" t="s">
        <v>83</v>
      </c>
      <c r="F305" t="s">
        <v>50</v>
      </c>
      <c r="G305">
        <v>3</v>
      </c>
      <c r="H305">
        <v>95000</v>
      </c>
      <c r="I305">
        <v>285000</v>
      </c>
      <c r="J305" t="s">
        <v>51</v>
      </c>
      <c r="K305" t="s">
        <v>84</v>
      </c>
    </row>
    <row r="306" spans="1:11" x14ac:dyDescent="0.35">
      <c r="A306" t="s">
        <v>432</v>
      </c>
      <c r="B306" s="2">
        <v>46143</v>
      </c>
      <c r="C306" s="2"/>
      <c r="D306" t="s">
        <v>102</v>
      </c>
      <c r="E306" t="s">
        <v>98</v>
      </c>
      <c r="F306" t="s">
        <v>35</v>
      </c>
      <c r="G306">
        <v>3</v>
      </c>
      <c r="H306">
        <v>68000</v>
      </c>
      <c r="I306">
        <v>204000</v>
      </c>
      <c r="J306" t="s">
        <v>51</v>
      </c>
      <c r="K306" t="s">
        <v>56</v>
      </c>
    </row>
    <row r="307" spans="1:11" x14ac:dyDescent="0.35">
      <c r="A307" t="s">
        <v>433</v>
      </c>
      <c r="B307" s="2">
        <v>46144</v>
      </c>
      <c r="C307" s="2"/>
      <c r="D307" t="s">
        <v>112</v>
      </c>
      <c r="E307" t="s">
        <v>98</v>
      </c>
      <c r="F307" t="s">
        <v>35</v>
      </c>
      <c r="G307">
        <v>4</v>
      </c>
      <c r="H307">
        <v>45000</v>
      </c>
      <c r="I307">
        <v>180000</v>
      </c>
      <c r="J307" t="s">
        <v>51</v>
      </c>
      <c r="K307" t="s">
        <v>60</v>
      </c>
    </row>
    <row r="308" spans="1:11" x14ac:dyDescent="0.35">
      <c r="A308" t="s">
        <v>434</v>
      </c>
      <c r="B308" s="2">
        <v>46145</v>
      </c>
      <c r="C308" s="2"/>
      <c r="D308" t="s">
        <v>97</v>
      </c>
      <c r="E308" t="s">
        <v>103</v>
      </c>
      <c r="F308" t="s">
        <v>30</v>
      </c>
      <c r="G308">
        <v>4</v>
      </c>
      <c r="H308">
        <v>185000</v>
      </c>
      <c r="I308">
        <v>740000</v>
      </c>
      <c r="J308" t="s">
        <v>31</v>
      </c>
      <c r="K308" t="s">
        <v>32</v>
      </c>
    </row>
    <row r="309" spans="1:11" x14ac:dyDescent="0.35">
      <c r="A309" t="s">
        <v>435</v>
      </c>
      <c r="B309" s="2">
        <v>46146</v>
      </c>
      <c r="C309" s="2"/>
      <c r="D309" t="s">
        <v>48</v>
      </c>
      <c r="E309" t="s">
        <v>246</v>
      </c>
      <c r="F309" t="s">
        <v>70</v>
      </c>
      <c r="G309">
        <v>2</v>
      </c>
      <c r="H309">
        <v>120000</v>
      </c>
      <c r="I309">
        <v>240000</v>
      </c>
      <c r="J309" t="s">
        <v>36</v>
      </c>
      <c r="K309" t="s">
        <v>60</v>
      </c>
    </row>
    <row r="310" spans="1:11" x14ac:dyDescent="0.35">
      <c r="A310" t="s">
        <v>436</v>
      </c>
      <c r="B310" s="2">
        <v>46147</v>
      </c>
      <c r="C310" s="2"/>
      <c r="D310" t="s">
        <v>145</v>
      </c>
      <c r="E310" t="s">
        <v>175</v>
      </c>
      <c r="F310" t="s">
        <v>66</v>
      </c>
      <c r="G310">
        <v>2</v>
      </c>
      <c r="H310">
        <v>185000</v>
      </c>
      <c r="I310">
        <v>370000</v>
      </c>
      <c r="J310" t="s">
        <v>31</v>
      </c>
      <c r="K310" t="s">
        <v>84</v>
      </c>
    </row>
    <row r="311" spans="1:11" x14ac:dyDescent="0.35">
      <c r="A311" t="s">
        <v>437</v>
      </c>
      <c r="B311" s="2">
        <v>46148</v>
      </c>
      <c r="C311" s="2"/>
      <c r="D311" t="s">
        <v>145</v>
      </c>
      <c r="E311" t="s">
        <v>206</v>
      </c>
      <c r="F311" t="s">
        <v>35</v>
      </c>
      <c r="G311">
        <v>3</v>
      </c>
      <c r="H311">
        <v>95000</v>
      </c>
      <c r="I311">
        <v>285000</v>
      </c>
      <c r="J311" t="s">
        <v>31</v>
      </c>
      <c r="K311" t="s">
        <v>146</v>
      </c>
    </row>
    <row r="312" spans="1:11" x14ac:dyDescent="0.35">
      <c r="A312" t="s">
        <v>438</v>
      </c>
      <c r="B312" s="2">
        <v>46149</v>
      </c>
      <c r="C312" s="2"/>
      <c r="D312" t="s">
        <v>120</v>
      </c>
      <c r="E312" t="s">
        <v>92</v>
      </c>
      <c r="F312" t="s">
        <v>70</v>
      </c>
      <c r="G312">
        <v>1</v>
      </c>
      <c r="H312">
        <v>120000</v>
      </c>
      <c r="I312">
        <v>120000</v>
      </c>
      <c r="J312" t="s">
        <v>31</v>
      </c>
      <c r="K312" t="s">
        <v>32</v>
      </c>
    </row>
    <row r="313" spans="1:11" x14ac:dyDescent="0.35">
      <c r="A313" t="s">
        <v>439</v>
      </c>
      <c r="B313" s="2">
        <v>46150</v>
      </c>
      <c r="C313" s="2"/>
      <c r="D313" t="s">
        <v>167</v>
      </c>
      <c r="E313" t="s">
        <v>110</v>
      </c>
      <c r="F313" t="s">
        <v>70</v>
      </c>
      <c r="G313">
        <v>4</v>
      </c>
      <c r="H313">
        <v>95000</v>
      </c>
      <c r="I313">
        <v>380000</v>
      </c>
      <c r="J313" t="s">
        <v>51</v>
      </c>
      <c r="K313" t="s">
        <v>122</v>
      </c>
    </row>
    <row r="314" spans="1:11" x14ac:dyDescent="0.35">
      <c r="A314" t="s">
        <v>440</v>
      </c>
      <c r="B314" s="2">
        <v>46151</v>
      </c>
      <c r="C314" s="2"/>
      <c r="D314" t="s">
        <v>117</v>
      </c>
      <c r="E314" t="s">
        <v>178</v>
      </c>
      <c r="F314" t="s">
        <v>59</v>
      </c>
      <c r="G314">
        <v>2</v>
      </c>
      <c r="H314">
        <v>185000</v>
      </c>
      <c r="I314">
        <v>370000</v>
      </c>
      <c r="J314" t="s">
        <v>51</v>
      </c>
      <c r="K314" t="s">
        <v>32</v>
      </c>
    </row>
    <row r="315" spans="1:11" x14ac:dyDescent="0.35">
      <c r="A315" t="s">
        <v>441</v>
      </c>
      <c r="B315" s="2">
        <v>46152</v>
      </c>
      <c r="C315" s="2"/>
      <c r="D315" t="s">
        <v>135</v>
      </c>
      <c r="E315" t="s">
        <v>208</v>
      </c>
      <c r="F315" t="s">
        <v>59</v>
      </c>
      <c r="G315">
        <v>3</v>
      </c>
      <c r="H315">
        <v>28000</v>
      </c>
      <c r="I315">
        <v>84000</v>
      </c>
      <c r="J315" t="s">
        <v>51</v>
      </c>
      <c r="K315" t="s">
        <v>60</v>
      </c>
    </row>
    <row r="316" spans="1:11" x14ac:dyDescent="0.35">
      <c r="A316" t="s">
        <v>442</v>
      </c>
      <c r="B316" s="2">
        <v>46153</v>
      </c>
      <c r="C316" s="2"/>
      <c r="D316" t="s">
        <v>112</v>
      </c>
      <c r="E316" t="s">
        <v>80</v>
      </c>
      <c r="F316" t="s">
        <v>50</v>
      </c>
      <c r="G316">
        <v>2</v>
      </c>
      <c r="H316">
        <v>95000</v>
      </c>
      <c r="I316">
        <v>190000</v>
      </c>
      <c r="J316" t="s">
        <v>36</v>
      </c>
      <c r="K316" t="s">
        <v>46</v>
      </c>
    </row>
    <row r="317" spans="1:11" x14ac:dyDescent="0.35">
      <c r="A317" t="s">
        <v>443</v>
      </c>
      <c r="B317" s="2">
        <v>46154</v>
      </c>
      <c r="C317" s="2"/>
      <c r="D317" t="s">
        <v>145</v>
      </c>
      <c r="E317" t="s">
        <v>98</v>
      </c>
      <c r="F317" t="s">
        <v>55</v>
      </c>
      <c r="G317">
        <v>4</v>
      </c>
      <c r="H317">
        <v>120000</v>
      </c>
      <c r="I317">
        <v>480000</v>
      </c>
      <c r="J317" t="s">
        <v>31</v>
      </c>
      <c r="K317" t="s">
        <v>32</v>
      </c>
    </row>
    <row r="318" spans="1:11" x14ac:dyDescent="0.35">
      <c r="A318" t="s">
        <v>444</v>
      </c>
      <c r="B318" s="2">
        <v>46155</v>
      </c>
      <c r="C318" s="2"/>
      <c r="D318" t="s">
        <v>39</v>
      </c>
      <c r="E318" t="s">
        <v>125</v>
      </c>
      <c r="F318" t="s">
        <v>50</v>
      </c>
      <c r="G318">
        <v>4</v>
      </c>
      <c r="H318">
        <v>120000</v>
      </c>
      <c r="I318">
        <v>480000</v>
      </c>
      <c r="J318" t="s">
        <v>36</v>
      </c>
      <c r="K318" t="s">
        <v>122</v>
      </c>
    </row>
    <row r="319" spans="1:11" x14ac:dyDescent="0.35">
      <c r="A319" t="s">
        <v>445</v>
      </c>
      <c r="B319" s="2">
        <v>46156</v>
      </c>
      <c r="C319" s="2"/>
      <c r="D319" t="s">
        <v>94</v>
      </c>
      <c r="E319" t="s">
        <v>141</v>
      </c>
      <c r="F319" t="s">
        <v>95</v>
      </c>
      <c r="G319">
        <v>5</v>
      </c>
      <c r="H319">
        <v>95000</v>
      </c>
      <c r="I319">
        <v>475000</v>
      </c>
      <c r="J319" t="s">
        <v>51</v>
      </c>
      <c r="K319" t="s">
        <v>146</v>
      </c>
    </row>
    <row r="320" spans="1:11" x14ac:dyDescent="0.35">
      <c r="A320" t="s">
        <v>446</v>
      </c>
      <c r="B320" s="2">
        <v>46157</v>
      </c>
      <c r="C320" s="2"/>
      <c r="D320" t="s">
        <v>34</v>
      </c>
      <c r="E320" t="s">
        <v>80</v>
      </c>
      <c r="F320" t="s">
        <v>66</v>
      </c>
      <c r="G320">
        <v>1</v>
      </c>
      <c r="H320">
        <v>540000</v>
      </c>
      <c r="I320">
        <v>540000</v>
      </c>
      <c r="J320" t="s">
        <v>36</v>
      </c>
      <c r="K320" t="s">
        <v>56</v>
      </c>
    </row>
    <row r="321" spans="1:11" x14ac:dyDescent="0.35">
      <c r="A321" t="s">
        <v>447</v>
      </c>
      <c r="B321" s="2">
        <v>46158</v>
      </c>
      <c r="C321" s="2"/>
      <c r="D321" t="s">
        <v>117</v>
      </c>
      <c r="E321" t="s">
        <v>162</v>
      </c>
      <c r="F321" t="s">
        <v>95</v>
      </c>
      <c r="G321">
        <v>5</v>
      </c>
      <c r="H321">
        <v>185000</v>
      </c>
      <c r="I321">
        <v>925000</v>
      </c>
      <c r="J321" t="s">
        <v>31</v>
      </c>
      <c r="K321" t="s">
        <v>37</v>
      </c>
    </row>
    <row r="322" spans="1:11" x14ac:dyDescent="0.35">
      <c r="A322" t="s">
        <v>448</v>
      </c>
      <c r="B322" s="2">
        <v>46159</v>
      </c>
      <c r="C322" s="2"/>
      <c r="D322" t="s">
        <v>135</v>
      </c>
      <c r="E322" t="s">
        <v>73</v>
      </c>
      <c r="F322" t="s">
        <v>41</v>
      </c>
      <c r="G322">
        <v>3</v>
      </c>
      <c r="H322">
        <v>540000</v>
      </c>
      <c r="I322">
        <v>1620000</v>
      </c>
      <c r="J322" t="s">
        <v>31</v>
      </c>
      <c r="K322" t="s">
        <v>46</v>
      </c>
    </row>
    <row r="323" spans="1:11" x14ac:dyDescent="0.35">
      <c r="A323" t="s">
        <v>449</v>
      </c>
      <c r="B323" s="2">
        <v>46160</v>
      </c>
      <c r="C323" s="2"/>
      <c r="D323" t="s">
        <v>88</v>
      </c>
      <c r="E323" t="s">
        <v>54</v>
      </c>
      <c r="F323" t="s">
        <v>95</v>
      </c>
      <c r="G323">
        <v>2</v>
      </c>
      <c r="H323">
        <v>280000</v>
      </c>
      <c r="I323">
        <v>560000</v>
      </c>
      <c r="J323" t="s">
        <v>51</v>
      </c>
      <c r="K323" t="s">
        <v>56</v>
      </c>
    </row>
    <row r="324" spans="1:11" x14ac:dyDescent="0.35">
      <c r="A324" t="s">
        <v>450</v>
      </c>
      <c r="B324" s="2">
        <v>46161</v>
      </c>
      <c r="C324" s="2"/>
      <c r="D324" t="s">
        <v>72</v>
      </c>
      <c r="E324" t="s">
        <v>269</v>
      </c>
      <c r="F324" t="s">
        <v>30</v>
      </c>
      <c r="G324">
        <v>3</v>
      </c>
      <c r="H324">
        <v>185000</v>
      </c>
      <c r="I324">
        <v>555000</v>
      </c>
      <c r="J324" t="s">
        <v>51</v>
      </c>
      <c r="K324" t="s">
        <v>146</v>
      </c>
    </row>
    <row r="325" spans="1:11" x14ac:dyDescent="0.35">
      <c r="A325" t="s">
        <v>451</v>
      </c>
      <c r="B325" s="2">
        <v>46162</v>
      </c>
      <c r="C325" s="2"/>
      <c r="D325" t="s">
        <v>68</v>
      </c>
      <c r="E325" t="s">
        <v>40</v>
      </c>
      <c r="F325" t="s">
        <v>95</v>
      </c>
      <c r="G325">
        <v>4</v>
      </c>
      <c r="H325">
        <v>95000</v>
      </c>
      <c r="I325">
        <v>380000</v>
      </c>
      <c r="J325" t="s">
        <v>36</v>
      </c>
      <c r="K325" t="s">
        <v>32</v>
      </c>
    </row>
    <row r="326" spans="1:11" x14ac:dyDescent="0.35">
      <c r="A326" t="s">
        <v>452</v>
      </c>
      <c r="B326" s="2">
        <v>46163</v>
      </c>
      <c r="C326" s="2"/>
      <c r="D326" t="s">
        <v>94</v>
      </c>
      <c r="E326" t="s">
        <v>69</v>
      </c>
      <c r="F326" t="s">
        <v>50</v>
      </c>
      <c r="G326">
        <v>5</v>
      </c>
      <c r="H326">
        <v>18000</v>
      </c>
      <c r="I326">
        <v>90000</v>
      </c>
      <c r="J326" t="s">
        <v>51</v>
      </c>
      <c r="K326" t="s">
        <v>60</v>
      </c>
    </row>
    <row r="327" spans="1:11" x14ac:dyDescent="0.35">
      <c r="A327" t="s">
        <v>453</v>
      </c>
      <c r="B327" s="2">
        <v>46164</v>
      </c>
      <c r="C327" s="2"/>
      <c r="D327" t="s">
        <v>72</v>
      </c>
      <c r="E327" t="s">
        <v>127</v>
      </c>
      <c r="F327" t="s">
        <v>35</v>
      </c>
      <c r="G327">
        <v>5</v>
      </c>
      <c r="H327">
        <v>95000</v>
      </c>
      <c r="I327">
        <v>475000</v>
      </c>
      <c r="J327" t="s">
        <v>51</v>
      </c>
      <c r="K327" t="s">
        <v>84</v>
      </c>
    </row>
    <row r="328" spans="1:11" x14ac:dyDescent="0.35">
      <c r="A328" t="s">
        <v>453</v>
      </c>
      <c r="B328" s="2">
        <v>46165</v>
      </c>
      <c r="C328" s="2"/>
      <c r="D328" t="s">
        <v>34</v>
      </c>
      <c r="E328" t="s">
        <v>127</v>
      </c>
      <c r="F328" t="s">
        <v>35</v>
      </c>
      <c r="G328">
        <v>8</v>
      </c>
      <c r="H328">
        <v>20000</v>
      </c>
      <c r="I328">
        <v>30000</v>
      </c>
      <c r="J328" t="s">
        <v>51</v>
      </c>
      <c r="K328" t="s">
        <v>84</v>
      </c>
    </row>
    <row r="329" spans="1:11" x14ac:dyDescent="0.35">
      <c r="B329" s="2"/>
      <c r="C329" s="2"/>
    </row>
    <row r="330" spans="1:11" x14ac:dyDescent="0.35">
      <c r="B330" s="2"/>
      <c r="C330" s="2"/>
    </row>
    <row r="331" spans="1:11" x14ac:dyDescent="0.35">
      <c r="B331" s="2"/>
      <c r="C331" s="2"/>
    </row>
    <row r="332" spans="1:11" x14ac:dyDescent="0.35">
      <c r="B332" s="2"/>
      <c r="C332" s="2"/>
    </row>
    <row r="333" spans="1:11" x14ac:dyDescent="0.35">
      <c r="B333" s="2"/>
      <c r="C333" s="2"/>
    </row>
    <row r="334" spans="1:11" x14ac:dyDescent="0.35">
      <c r="B334" s="2"/>
      <c r="C334" s="2"/>
    </row>
    <row r="335" spans="1:11" x14ac:dyDescent="0.35">
      <c r="B335" s="2"/>
      <c r="C335" s="2"/>
    </row>
    <row r="336" spans="1:11" x14ac:dyDescent="0.35">
      <c r="A336" t="s">
        <v>454</v>
      </c>
      <c r="B336" s="2">
        <v>46165</v>
      </c>
      <c r="C336" s="2"/>
      <c r="D336" t="s">
        <v>34</v>
      </c>
      <c r="E336" t="s">
        <v>201</v>
      </c>
      <c r="F336" t="s">
        <v>35</v>
      </c>
      <c r="G336">
        <v>5</v>
      </c>
      <c r="H336">
        <v>540000</v>
      </c>
      <c r="I336">
        <v>2700000</v>
      </c>
      <c r="J336" t="s">
        <v>31</v>
      </c>
      <c r="K336" t="s">
        <v>60</v>
      </c>
    </row>
    <row r="337" spans="1:11" x14ac:dyDescent="0.35">
      <c r="A337" t="s">
        <v>455</v>
      </c>
      <c r="B337" s="2">
        <v>46166</v>
      </c>
      <c r="C337" s="2"/>
      <c r="D337" t="s">
        <v>28</v>
      </c>
      <c r="E337" t="s">
        <v>183</v>
      </c>
      <c r="F337" t="s">
        <v>59</v>
      </c>
      <c r="G337">
        <v>3</v>
      </c>
      <c r="H337">
        <v>28000</v>
      </c>
      <c r="I337">
        <v>84000</v>
      </c>
      <c r="J337" t="s">
        <v>51</v>
      </c>
      <c r="K337" t="s">
        <v>56</v>
      </c>
    </row>
    <row r="338" spans="1:11" x14ac:dyDescent="0.35">
      <c r="A338" t="s">
        <v>456</v>
      </c>
      <c r="B338" s="2">
        <v>46167</v>
      </c>
      <c r="C338" s="2"/>
      <c r="D338" t="s">
        <v>34</v>
      </c>
      <c r="E338" t="s">
        <v>65</v>
      </c>
      <c r="F338" t="s">
        <v>66</v>
      </c>
      <c r="G338">
        <v>4</v>
      </c>
      <c r="H338">
        <v>95000</v>
      </c>
      <c r="I338">
        <v>380000</v>
      </c>
      <c r="J338" t="s">
        <v>51</v>
      </c>
      <c r="K338" t="s">
        <v>122</v>
      </c>
    </row>
    <row r="339" spans="1:11" x14ac:dyDescent="0.35">
      <c r="A339" t="s">
        <v>457</v>
      </c>
      <c r="B339" s="2">
        <v>46168</v>
      </c>
      <c r="C339" s="2"/>
      <c r="D339" t="s">
        <v>167</v>
      </c>
      <c r="E339" t="s">
        <v>83</v>
      </c>
      <c r="F339" t="s">
        <v>66</v>
      </c>
      <c r="G339">
        <v>2</v>
      </c>
      <c r="H339">
        <v>95000</v>
      </c>
      <c r="I339">
        <v>190000</v>
      </c>
      <c r="J339" t="s">
        <v>31</v>
      </c>
      <c r="K339" t="s">
        <v>60</v>
      </c>
    </row>
    <row r="340" spans="1:11" x14ac:dyDescent="0.35">
      <c r="A340" t="s">
        <v>458</v>
      </c>
      <c r="B340" s="2">
        <v>46169</v>
      </c>
      <c r="C340" s="2"/>
      <c r="D340" t="s">
        <v>120</v>
      </c>
      <c r="E340" t="s">
        <v>58</v>
      </c>
      <c r="F340" t="s">
        <v>30</v>
      </c>
      <c r="G340">
        <v>2</v>
      </c>
      <c r="H340">
        <v>28000</v>
      </c>
      <c r="I340">
        <v>56000</v>
      </c>
      <c r="J340" t="s">
        <v>31</v>
      </c>
      <c r="K340" t="s">
        <v>46</v>
      </c>
    </row>
    <row r="341" spans="1:11" x14ac:dyDescent="0.35">
      <c r="A341" t="s">
        <v>459</v>
      </c>
      <c r="B341" s="2">
        <v>46170</v>
      </c>
      <c r="C341" s="2"/>
      <c r="D341" t="s">
        <v>53</v>
      </c>
      <c r="E341" t="s">
        <v>40</v>
      </c>
      <c r="F341" t="s">
        <v>50</v>
      </c>
      <c r="G341">
        <v>3</v>
      </c>
      <c r="H341">
        <v>95000</v>
      </c>
      <c r="I341">
        <v>285000</v>
      </c>
      <c r="J341" t="s">
        <v>36</v>
      </c>
      <c r="K341" t="s">
        <v>60</v>
      </c>
    </row>
    <row r="342" spans="1:11" x14ac:dyDescent="0.35">
      <c r="A342" t="s">
        <v>460</v>
      </c>
      <c r="B342" s="2">
        <v>46171</v>
      </c>
      <c r="C342" s="2"/>
      <c r="D342" t="s">
        <v>28</v>
      </c>
      <c r="E342" t="s">
        <v>178</v>
      </c>
      <c r="F342" t="s">
        <v>59</v>
      </c>
      <c r="G342">
        <v>5</v>
      </c>
      <c r="H342">
        <v>68000</v>
      </c>
      <c r="I342">
        <v>340000</v>
      </c>
      <c r="J342" t="s">
        <v>51</v>
      </c>
      <c r="K342" t="s">
        <v>122</v>
      </c>
    </row>
    <row r="343" spans="1:11" x14ac:dyDescent="0.35">
      <c r="A343" t="s">
        <v>461</v>
      </c>
      <c r="B343" s="2">
        <v>46172</v>
      </c>
      <c r="C343" s="2"/>
      <c r="D343" t="s">
        <v>170</v>
      </c>
      <c r="E343" t="s">
        <v>115</v>
      </c>
      <c r="F343" t="s">
        <v>41</v>
      </c>
      <c r="G343">
        <v>1</v>
      </c>
      <c r="H343">
        <v>18000</v>
      </c>
      <c r="I343">
        <v>18000</v>
      </c>
      <c r="J343" t="s">
        <v>31</v>
      </c>
      <c r="K343" t="s">
        <v>37</v>
      </c>
    </row>
    <row r="344" spans="1:11" x14ac:dyDescent="0.35">
      <c r="A344" t="s">
        <v>462</v>
      </c>
      <c r="B344" s="2">
        <v>46173</v>
      </c>
      <c r="C344" s="2"/>
      <c r="D344" t="s">
        <v>53</v>
      </c>
      <c r="E344" t="s">
        <v>269</v>
      </c>
      <c r="F344" t="s">
        <v>66</v>
      </c>
      <c r="G344">
        <v>3</v>
      </c>
      <c r="H344">
        <v>45000</v>
      </c>
      <c r="I344">
        <v>135000</v>
      </c>
      <c r="J344" t="s">
        <v>36</v>
      </c>
      <c r="K344" t="s">
        <v>32</v>
      </c>
    </row>
    <row r="345" spans="1:11" x14ac:dyDescent="0.35">
      <c r="A345" t="s">
        <v>463</v>
      </c>
      <c r="B345" s="2">
        <v>46174</v>
      </c>
      <c r="C345" s="2"/>
      <c r="D345" t="s">
        <v>120</v>
      </c>
      <c r="E345" t="s">
        <v>63</v>
      </c>
      <c r="F345" t="s">
        <v>35</v>
      </c>
      <c r="G345">
        <v>3</v>
      </c>
      <c r="H345">
        <v>18000</v>
      </c>
      <c r="I345">
        <v>54000</v>
      </c>
      <c r="J345" t="s">
        <v>36</v>
      </c>
      <c r="K345" t="s">
        <v>84</v>
      </c>
    </row>
    <row r="346" spans="1:11" x14ac:dyDescent="0.35">
      <c r="A346" t="s">
        <v>464</v>
      </c>
      <c r="B346" s="2">
        <v>46175</v>
      </c>
      <c r="C346" s="2"/>
      <c r="D346" t="s">
        <v>48</v>
      </c>
      <c r="E346" t="s">
        <v>69</v>
      </c>
      <c r="F346" t="s">
        <v>95</v>
      </c>
      <c r="G346">
        <v>4</v>
      </c>
      <c r="H346">
        <v>95000</v>
      </c>
      <c r="I346">
        <v>380000</v>
      </c>
      <c r="J346" t="s">
        <v>51</v>
      </c>
      <c r="K346" t="s">
        <v>56</v>
      </c>
    </row>
    <row r="347" spans="1:11" x14ac:dyDescent="0.35">
      <c r="A347" t="s">
        <v>465</v>
      </c>
      <c r="B347" s="2">
        <v>46176</v>
      </c>
      <c r="C347" s="2"/>
      <c r="D347" t="s">
        <v>117</v>
      </c>
      <c r="E347" t="s">
        <v>158</v>
      </c>
      <c r="F347" t="s">
        <v>95</v>
      </c>
      <c r="G347">
        <v>2</v>
      </c>
      <c r="H347">
        <v>68000</v>
      </c>
      <c r="I347">
        <v>136000</v>
      </c>
      <c r="J347" t="s">
        <v>51</v>
      </c>
      <c r="K347" t="s">
        <v>32</v>
      </c>
    </row>
    <row r="348" spans="1:11" x14ac:dyDescent="0.35">
      <c r="A348" t="s">
        <v>466</v>
      </c>
      <c r="B348" s="2">
        <v>46177</v>
      </c>
      <c r="C348" s="2"/>
      <c r="D348" t="s">
        <v>131</v>
      </c>
      <c r="E348" t="s">
        <v>253</v>
      </c>
      <c r="F348" t="s">
        <v>59</v>
      </c>
      <c r="G348">
        <v>3</v>
      </c>
      <c r="H348">
        <v>185000</v>
      </c>
      <c r="I348">
        <v>555000</v>
      </c>
      <c r="J348" t="s">
        <v>36</v>
      </c>
      <c r="K348" t="s">
        <v>60</v>
      </c>
    </row>
    <row r="349" spans="1:11" x14ac:dyDescent="0.35">
      <c r="A349" t="s">
        <v>467</v>
      </c>
      <c r="B349" s="2">
        <v>46178</v>
      </c>
      <c r="C349" s="2"/>
      <c r="D349" t="s">
        <v>131</v>
      </c>
      <c r="E349" t="s">
        <v>172</v>
      </c>
      <c r="F349" t="s">
        <v>50</v>
      </c>
      <c r="G349">
        <v>3</v>
      </c>
      <c r="H349">
        <v>95000</v>
      </c>
      <c r="I349">
        <v>285000</v>
      </c>
      <c r="J349" t="s">
        <v>31</v>
      </c>
      <c r="K349" t="s">
        <v>146</v>
      </c>
    </row>
    <row r="350" spans="1:11" x14ac:dyDescent="0.35">
      <c r="A350" t="s">
        <v>468</v>
      </c>
      <c r="B350" s="2">
        <v>46179</v>
      </c>
      <c r="C350" s="2"/>
      <c r="D350" t="s">
        <v>170</v>
      </c>
      <c r="E350" t="s">
        <v>100</v>
      </c>
      <c r="F350" t="s">
        <v>50</v>
      </c>
      <c r="G350">
        <v>5</v>
      </c>
      <c r="H350">
        <v>540000</v>
      </c>
      <c r="I350">
        <v>2700000</v>
      </c>
      <c r="J350" t="s">
        <v>36</v>
      </c>
      <c r="K350" t="s">
        <v>32</v>
      </c>
    </row>
    <row r="351" spans="1:11" x14ac:dyDescent="0.35">
      <c r="A351" t="s">
        <v>469</v>
      </c>
      <c r="B351" s="2">
        <v>46180</v>
      </c>
      <c r="C351" s="2"/>
      <c r="D351" t="s">
        <v>75</v>
      </c>
      <c r="E351" t="s">
        <v>127</v>
      </c>
      <c r="F351" t="s">
        <v>55</v>
      </c>
      <c r="G351">
        <v>5</v>
      </c>
      <c r="H351">
        <v>68000</v>
      </c>
      <c r="I351">
        <v>340000</v>
      </c>
      <c r="J351" t="s">
        <v>51</v>
      </c>
      <c r="K351" t="s">
        <v>37</v>
      </c>
    </row>
    <row r="352" spans="1:11" x14ac:dyDescent="0.35">
      <c r="A352" t="s">
        <v>470</v>
      </c>
      <c r="B352" s="2">
        <v>46181</v>
      </c>
      <c r="C352" s="2"/>
      <c r="D352" t="s">
        <v>109</v>
      </c>
      <c r="E352" t="s">
        <v>139</v>
      </c>
      <c r="F352" t="s">
        <v>45</v>
      </c>
      <c r="G352">
        <v>1</v>
      </c>
      <c r="H352">
        <v>28000</v>
      </c>
      <c r="I352">
        <v>28000</v>
      </c>
      <c r="J352" t="s">
        <v>31</v>
      </c>
      <c r="K352" t="s">
        <v>60</v>
      </c>
    </row>
    <row r="353" spans="1:11" x14ac:dyDescent="0.35">
      <c r="A353" t="s">
        <v>471</v>
      </c>
      <c r="B353" s="2">
        <v>46182</v>
      </c>
      <c r="C353" s="2"/>
      <c r="D353" t="s">
        <v>138</v>
      </c>
      <c r="E353" t="s">
        <v>206</v>
      </c>
      <c r="F353" t="s">
        <v>66</v>
      </c>
      <c r="G353">
        <v>4</v>
      </c>
      <c r="H353">
        <v>68000</v>
      </c>
      <c r="I353">
        <v>272000</v>
      </c>
      <c r="J353" t="s">
        <v>31</v>
      </c>
      <c r="K353" t="s">
        <v>84</v>
      </c>
    </row>
    <row r="354" spans="1:11" x14ac:dyDescent="0.35">
      <c r="A354" t="s">
        <v>472</v>
      </c>
      <c r="B354" s="2">
        <v>46183</v>
      </c>
      <c r="C354" s="2"/>
      <c r="D354" t="s">
        <v>94</v>
      </c>
      <c r="E354" t="s">
        <v>158</v>
      </c>
      <c r="F354" t="s">
        <v>50</v>
      </c>
      <c r="G354">
        <v>1</v>
      </c>
      <c r="H354">
        <v>28000</v>
      </c>
      <c r="I354">
        <v>28000</v>
      </c>
      <c r="J354" t="s">
        <v>36</v>
      </c>
      <c r="K354" t="s">
        <v>122</v>
      </c>
    </row>
    <row r="355" spans="1:11" x14ac:dyDescent="0.35">
      <c r="A355" t="s">
        <v>473</v>
      </c>
      <c r="B355" s="2">
        <v>46184</v>
      </c>
      <c r="C355" s="2"/>
      <c r="D355" t="s">
        <v>28</v>
      </c>
      <c r="E355" t="s">
        <v>80</v>
      </c>
      <c r="F355" t="s">
        <v>35</v>
      </c>
      <c r="G355">
        <v>5</v>
      </c>
      <c r="H355">
        <v>280000</v>
      </c>
      <c r="I355">
        <v>1400000</v>
      </c>
      <c r="J355" t="s">
        <v>51</v>
      </c>
      <c r="K355" t="s">
        <v>37</v>
      </c>
    </row>
    <row r="356" spans="1:11" x14ac:dyDescent="0.35">
      <c r="A356" t="s">
        <v>474</v>
      </c>
      <c r="B356" s="2">
        <v>46185</v>
      </c>
      <c r="C356" s="2"/>
      <c r="D356" t="s">
        <v>117</v>
      </c>
      <c r="E356" t="s">
        <v>178</v>
      </c>
      <c r="F356" t="s">
        <v>59</v>
      </c>
      <c r="G356">
        <v>2</v>
      </c>
      <c r="H356">
        <v>45000</v>
      </c>
      <c r="I356">
        <v>90000</v>
      </c>
      <c r="J356" t="s">
        <v>36</v>
      </c>
      <c r="K356" t="s">
        <v>60</v>
      </c>
    </row>
    <row r="357" spans="1:11" x14ac:dyDescent="0.35">
      <c r="A357" t="s">
        <v>475</v>
      </c>
      <c r="B357" s="2">
        <v>46186</v>
      </c>
      <c r="C357" s="2"/>
      <c r="D357" t="s">
        <v>145</v>
      </c>
      <c r="E357" t="s">
        <v>121</v>
      </c>
      <c r="F357" t="s">
        <v>41</v>
      </c>
      <c r="G357">
        <v>5</v>
      </c>
      <c r="H357">
        <v>365000</v>
      </c>
      <c r="I357">
        <v>1825000</v>
      </c>
      <c r="J357" t="s">
        <v>36</v>
      </c>
      <c r="K357" t="s">
        <v>37</v>
      </c>
    </row>
    <row r="358" spans="1:11" x14ac:dyDescent="0.35">
      <c r="A358" t="s">
        <v>476</v>
      </c>
      <c r="B358" s="2">
        <v>46187</v>
      </c>
      <c r="C358" s="2"/>
      <c r="D358" t="s">
        <v>68</v>
      </c>
      <c r="E358" t="s">
        <v>246</v>
      </c>
      <c r="F358" t="s">
        <v>55</v>
      </c>
      <c r="G358">
        <v>4</v>
      </c>
      <c r="H358">
        <v>68000</v>
      </c>
      <c r="I358">
        <v>272000</v>
      </c>
      <c r="J358" t="s">
        <v>36</v>
      </c>
      <c r="K358" t="s">
        <v>32</v>
      </c>
    </row>
    <row r="359" spans="1:11" x14ac:dyDescent="0.35">
      <c r="A359" t="s">
        <v>477</v>
      </c>
      <c r="B359" s="2">
        <v>46188</v>
      </c>
      <c r="C359" s="2"/>
      <c r="D359" t="s">
        <v>145</v>
      </c>
      <c r="E359" t="s">
        <v>73</v>
      </c>
      <c r="F359" t="s">
        <v>70</v>
      </c>
      <c r="G359">
        <v>5</v>
      </c>
      <c r="H359">
        <v>120000</v>
      </c>
      <c r="I359">
        <v>600000</v>
      </c>
      <c r="J359" t="s">
        <v>31</v>
      </c>
      <c r="K359" t="s">
        <v>84</v>
      </c>
    </row>
    <row r="360" spans="1:11" x14ac:dyDescent="0.35">
      <c r="A360" t="s">
        <v>478</v>
      </c>
      <c r="B360" s="2">
        <v>46189</v>
      </c>
      <c r="C360" s="2"/>
      <c r="D360" t="s">
        <v>131</v>
      </c>
      <c r="E360" t="s">
        <v>115</v>
      </c>
      <c r="F360" t="s">
        <v>30</v>
      </c>
      <c r="G360">
        <v>4</v>
      </c>
      <c r="H360">
        <v>540000</v>
      </c>
      <c r="I360">
        <v>2160000</v>
      </c>
      <c r="J360" t="s">
        <v>31</v>
      </c>
      <c r="K360" t="s">
        <v>122</v>
      </c>
    </row>
    <row r="361" spans="1:11" x14ac:dyDescent="0.35">
      <c r="A361" t="s">
        <v>479</v>
      </c>
      <c r="B361" s="2">
        <v>46190</v>
      </c>
      <c r="C361" s="2"/>
      <c r="D361" t="s">
        <v>34</v>
      </c>
      <c r="E361" t="s">
        <v>172</v>
      </c>
      <c r="F361" t="s">
        <v>41</v>
      </c>
      <c r="G361">
        <v>4</v>
      </c>
      <c r="H361">
        <v>95000</v>
      </c>
      <c r="I361">
        <v>380000</v>
      </c>
      <c r="J361" t="s">
        <v>51</v>
      </c>
      <c r="K361" t="s">
        <v>60</v>
      </c>
    </row>
    <row r="362" spans="1:11" x14ac:dyDescent="0.35">
      <c r="A362" t="s">
        <v>480</v>
      </c>
      <c r="B362" s="2">
        <v>46191</v>
      </c>
      <c r="C362" s="2"/>
      <c r="D362" t="s">
        <v>117</v>
      </c>
      <c r="E362" t="s">
        <v>125</v>
      </c>
      <c r="F362" t="s">
        <v>70</v>
      </c>
      <c r="G362">
        <v>4</v>
      </c>
      <c r="H362">
        <v>540000</v>
      </c>
      <c r="I362">
        <v>2160000</v>
      </c>
      <c r="J362" t="s">
        <v>51</v>
      </c>
      <c r="K362" t="s">
        <v>46</v>
      </c>
    </row>
    <row r="363" spans="1:11" x14ac:dyDescent="0.35">
      <c r="A363" t="s">
        <v>481</v>
      </c>
      <c r="B363" s="2">
        <v>46192</v>
      </c>
      <c r="C363" s="2"/>
      <c r="D363" t="s">
        <v>133</v>
      </c>
      <c r="E363" t="s">
        <v>54</v>
      </c>
      <c r="F363" t="s">
        <v>95</v>
      </c>
      <c r="G363">
        <v>4</v>
      </c>
      <c r="H363">
        <v>18000</v>
      </c>
      <c r="I363">
        <v>72000</v>
      </c>
      <c r="J363" t="s">
        <v>36</v>
      </c>
      <c r="K363" t="s">
        <v>56</v>
      </c>
    </row>
    <row r="364" spans="1:11" x14ac:dyDescent="0.35">
      <c r="A364" t="s">
        <v>482</v>
      </c>
      <c r="B364" s="2">
        <v>46193</v>
      </c>
      <c r="C364" s="2"/>
      <c r="D364" t="s">
        <v>102</v>
      </c>
      <c r="E364" t="s">
        <v>98</v>
      </c>
      <c r="F364" t="s">
        <v>30</v>
      </c>
      <c r="G364">
        <v>4</v>
      </c>
      <c r="H364">
        <v>365000</v>
      </c>
      <c r="I364">
        <v>1460000</v>
      </c>
      <c r="J364" t="s">
        <v>36</v>
      </c>
      <c r="K364" t="s">
        <v>122</v>
      </c>
    </row>
    <row r="365" spans="1:11" x14ac:dyDescent="0.35">
      <c r="A365" t="s">
        <v>483</v>
      </c>
      <c r="B365" s="2">
        <v>46194</v>
      </c>
      <c r="C365" s="2"/>
      <c r="D365" t="s">
        <v>120</v>
      </c>
      <c r="E365" t="s">
        <v>92</v>
      </c>
      <c r="F365" t="s">
        <v>66</v>
      </c>
      <c r="G365">
        <v>2</v>
      </c>
      <c r="H365">
        <v>18000</v>
      </c>
      <c r="I365">
        <v>36000</v>
      </c>
      <c r="J365" t="s">
        <v>36</v>
      </c>
      <c r="K365" t="s">
        <v>46</v>
      </c>
    </row>
    <row r="366" spans="1:11" x14ac:dyDescent="0.35">
      <c r="A366" t="s">
        <v>484</v>
      </c>
      <c r="B366" s="2">
        <v>46195</v>
      </c>
      <c r="C366" s="2"/>
      <c r="D366" t="s">
        <v>145</v>
      </c>
      <c r="E366" t="s">
        <v>40</v>
      </c>
      <c r="F366" t="s">
        <v>35</v>
      </c>
      <c r="G366">
        <v>1</v>
      </c>
      <c r="H366">
        <v>280000</v>
      </c>
      <c r="I366">
        <v>280000</v>
      </c>
      <c r="J366" t="s">
        <v>51</v>
      </c>
      <c r="K366" t="s">
        <v>37</v>
      </c>
    </row>
    <row r="367" spans="1:11" x14ac:dyDescent="0.35">
      <c r="A367" t="s">
        <v>485</v>
      </c>
      <c r="B367" s="2">
        <v>46196</v>
      </c>
      <c r="C367" s="2"/>
      <c r="D367" t="s">
        <v>109</v>
      </c>
      <c r="E367" t="s">
        <v>188</v>
      </c>
      <c r="F367" t="s">
        <v>30</v>
      </c>
      <c r="G367">
        <v>3</v>
      </c>
      <c r="H367">
        <v>365000</v>
      </c>
      <c r="I367">
        <v>1095000</v>
      </c>
      <c r="J367" t="s">
        <v>31</v>
      </c>
      <c r="K367" t="s">
        <v>146</v>
      </c>
    </row>
    <row r="368" spans="1:11" x14ac:dyDescent="0.35">
      <c r="A368" t="s">
        <v>486</v>
      </c>
      <c r="B368" s="2">
        <v>46197</v>
      </c>
      <c r="C368" s="2"/>
      <c r="D368" t="s">
        <v>106</v>
      </c>
      <c r="E368" t="s">
        <v>40</v>
      </c>
      <c r="F368" t="s">
        <v>45</v>
      </c>
      <c r="G368">
        <v>1</v>
      </c>
      <c r="H368">
        <v>365000</v>
      </c>
      <c r="I368">
        <v>365000</v>
      </c>
      <c r="J368" t="s">
        <v>31</v>
      </c>
      <c r="K368" t="s">
        <v>122</v>
      </c>
    </row>
    <row r="369" spans="1:11" x14ac:dyDescent="0.35">
      <c r="A369" t="s">
        <v>487</v>
      </c>
      <c r="B369" s="2">
        <v>46198</v>
      </c>
      <c r="C369" s="2"/>
      <c r="D369" t="s">
        <v>161</v>
      </c>
      <c r="E369" t="s">
        <v>335</v>
      </c>
      <c r="F369" t="s">
        <v>70</v>
      </c>
      <c r="G369">
        <v>4</v>
      </c>
      <c r="H369">
        <v>18000</v>
      </c>
      <c r="I369">
        <v>72000</v>
      </c>
      <c r="J369" t="s">
        <v>36</v>
      </c>
      <c r="K369" t="s">
        <v>37</v>
      </c>
    </row>
    <row r="370" spans="1:11" x14ac:dyDescent="0.35">
      <c r="A370" t="s">
        <v>488</v>
      </c>
      <c r="B370" s="2">
        <v>46199</v>
      </c>
      <c r="C370" s="2"/>
      <c r="D370" t="s">
        <v>161</v>
      </c>
      <c r="E370" t="s">
        <v>143</v>
      </c>
      <c r="F370" t="s">
        <v>66</v>
      </c>
      <c r="G370">
        <v>2</v>
      </c>
      <c r="H370">
        <v>28000</v>
      </c>
      <c r="I370">
        <v>56000</v>
      </c>
      <c r="J370" t="s">
        <v>36</v>
      </c>
      <c r="K370" t="s">
        <v>46</v>
      </c>
    </row>
    <row r="371" spans="1:11" x14ac:dyDescent="0.35">
      <c r="A371" t="s">
        <v>489</v>
      </c>
      <c r="B371" s="2">
        <v>46200</v>
      </c>
      <c r="C371" s="2"/>
      <c r="D371" t="s">
        <v>135</v>
      </c>
      <c r="E371" t="s">
        <v>107</v>
      </c>
      <c r="F371" t="s">
        <v>45</v>
      </c>
      <c r="G371">
        <v>5</v>
      </c>
      <c r="H371">
        <v>18000</v>
      </c>
      <c r="I371">
        <v>90000</v>
      </c>
      <c r="J371" t="s">
        <v>36</v>
      </c>
      <c r="K371" t="s">
        <v>32</v>
      </c>
    </row>
    <row r="372" spans="1:11" x14ac:dyDescent="0.35">
      <c r="A372" t="s">
        <v>490</v>
      </c>
      <c r="B372" s="2">
        <v>46201</v>
      </c>
      <c r="C372" s="2"/>
      <c r="D372" t="s">
        <v>75</v>
      </c>
      <c r="E372" t="s">
        <v>103</v>
      </c>
      <c r="F372" t="s">
        <v>95</v>
      </c>
      <c r="G372">
        <v>2</v>
      </c>
      <c r="H372">
        <v>540000</v>
      </c>
      <c r="I372">
        <v>1080000</v>
      </c>
      <c r="J372" t="s">
        <v>36</v>
      </c>
      <c r="K372" t="s">
        <v>32</v>
      </c>
    </row>
    <row r="373" spans="1:11" x14ac:dyDescent="0.35">
      <c r="A373" t="s">
        <v>491</v>
      </c>
      <c r="B373" s="2">
        <v>46202</v>
      </c>
      <c r="C373" s="2"/>
      <c r="D373" t="s">
        <v>167</v>
      </c>
      <c r="E373" t="s">
        <v>103</v>
      </c>
      <c r="F373" t="s">
        <v>45</v>
      </c>
      <c r="G373">
        <v>4</v>
      </c>
      <c r="H373">
        <v>28000</v>
      </c>
      <c r="I373">
        <v>112000</v>
      </c>
      <c r="J373" t="s">
        <v>51</v>
      </c>
      <c r="K373" t="s">
        <v>146</v>
      </c>
    </row>
    <row r="374" spans="1:11" x14ac:dyDescent="0.35">
      <c r="A374" t="s">
        <v>492</v>
      </c>
      <c r="B374" s="2">
        <v>46203</v>
      </c>
      <c r="C374" s="2"/>
      <c r="D374" t="s">
        <v>167</v>
      </c>
      <c r="E374" t="s">
        <v>183</v>
      </c>
      <c r="F374" t="s">
        <v>55</v>
      </c>
      <c r="G374">
        <v>2</v>
      </c>
      <c r="H374">
        <v>540000</v>
      </c>
      <c r="I374">
        <v>1080000</v>
      </c>
      <c r="J374" t="s">
        <v>31</v>
      </c>
      <c r="K374" t="s">
        <v>56</v>
      </c>
    </row>
    <row r="375" spans="1:11" x14ac:dyDescent="0.35">
      <c r="A375" t="s">
        <v>493</v>
      </c>
      <c r="B375" s="2">
        <v>46204</v>
      </c>
      <c r="C375" s="2"/>
      <c r="D375" t="s">
        <v>94</v>
      </c>
      <c r="E375" t="s">
        <v>183</v>
      </c>
      <c r="F375" t="s">
        <v>55</v>
      </c>
      <c r="G375">
        <v>2</v>
      </c>
      <c r="H375">
        <v>280000</v>
      </c>
      <c r="I375">
        <v>560000</v>
      </c>
      <c r="J375" t="s">
        <v>36</v>
      </c>
      <c r="K375" t="s">
        <v>122</v>
      </c>
    </row>
    <row r="376" spans="1:11" x14ac:dyDescent="0.35">
      <c r="A376" t="s">
        <v>494</v>
      </c>
      <c r="B376" s="2">
        <v>46205</v>
      </c>
      <c r="C376" s="2"/>
      <c r="D376" t="s">
        <v>72</v>
      </c>
      <c r="E376" t="s">
        <v>90</v>
      </c>
      <c r="F376" t="s">
        <v>59</v>
      </c>
      <c r="G376">
        <v>4</v>
      </c>
      <c r="H376">
        <v>95000</v>
      </c>
      <c r="I376">
        <v>380000</v>
      </c>
      <c r="J376" t="s">
        <v>51</v>
      </c>
      <c r="K376" t="s">
        <v>122</v>
      </c>
    </row>
    <row r="377" spans="1:11" x14ac:dyDescent="0.35">
      <c r="A377" t="s">
        <v>495</v>
      </c>
      <c r="B377" s="2">
        <v>46206</v>
      </c>
      <c r="C377" s="2"/>
      <c r="D377" t="s">
        <v>145</v>
      </c>
      <c r="E377" t="s">
        <v>92</v>
      </c>
      <c r="F377" t="s">
        <v>41</v>
      </c>
      <c r="G377">
        <v>2</v>
      </c>
      <c r="H377">
        <v>185000</v>
      </c>
      <c r="I377">
        <v>370000</v>
      </c>
      <c r="J377" t="s">
        <v>36</v>
      </c>
      <c r="K377" t="s">
        <v>122</v>
      </c>
    </row>
    <row r="378" spans="1:11" x14ac:dyDescent="0.35">
      <c r="A378" t="s">
        <v>496</v>
      </c>
      <c r="B378" s="2">
        <v>46207</v>
      </c>
      <c r="C378" s="2"/>
      <c r="D378" t="s">
        <v>145</v>
      </c>
      <c r="E378" t="s">
        <v>172</v>
      </c>
      <c r="F378" t="s">
        <v>41</v>
      </c>
      <c r="G378">
        <v>3</v>
      </c>
      <c r="H378">
        <v>28000</v>
      </c>
      <c r="I378">
        <v>84000</v>
      </c>
      <c r="J378" t="s">
        <v>36</v>
      </c>
      <c r="K378" t="s">
        <v>56</v>
      </c>
    </row>
    <row r="379" spans="1:11" x14ac:dyDescent="0.35">
      <c r="A379" t="s">
        <v>497</v>
      </c>
      <c r="B379" s="2">
        <v>46208</v>
      </c>
      <c r="C379" s="2"/>
      <c r="D379" t="s">
        <v>94</v>
      </c>
      <c r="E379" t="s">
        <v>153</v>
      </c>
      <c r="F379" t="s">
        <v>66</v>
      </c>
      <c r="G379">
        <v>3</v>
      </c>
      <c r="H379">
        <v>280000</v>
      </c>
      <c r="I379">
        <v>840000</v>
      </c>
      <c r="J379" t="s">
        <v>31</v>
      </c>
      <c r="K379" t="s">
        <v>37</v>
      </c>
    </row>
    <row r="380" spans="1:11" x14ac:dyDescent="0.35">
      <c r="A380" t="s">
        <v>498</v>
      </c>
      <c r="B380" s="2">
        <v>46209</v>
      </c>
      <c r="C380" s="2"/>
      <c r="D380" t="s">
        <v>34</v>
      </c>
      <c r="E380" t="s">
        <v>110</v>
      </c>
      <c r="F380" t="s">
        <v>95</v>
      </c>
      <c r="G380">
        <v>2</v>
      </c>
      <c r="H380">
        <v>120000</v>
      </c>
      <c r="I380">
        <v>240000</v>
      </c>
      <c r="J380" t="s">
        <v>36</v>
      </c>
      <c r="K380" t="s">
        <v>84</v>
      </c>
    </row>
    <row r="381" spans="1:11" x14ac:dyDescent="0.35">
      <c r="A381" t="s">
        <v>499</v>
      </c>
      <c r="B381" s="2">
        <v>46210</v>
      </c>
      <c r="C381" s="2"/>
      <c r="D381" t="s">
        <v>82</v>
      </c>
      <c r="E381" t="s">
        <v>162</v>
      </c>
      <c r="F381" t="s">
        <v>50</v>
      </c>
      <c r="G381">
        <v>5</v>
      </c>
      <c r="H381">
        <v>280000</v>
      </c>
      <c r="I381">
        <v>1400000</v>
      </c>
      <c r="J381" t="s">
        <v>31</v>
      </c>
      <c r="K381" t="s">
        <v>84</v>
      </c>
    </row>
    <row r="382" spans="1:11" x14ac:dyDescent="0.35">
      <c r="A382" t="s">
        <v>500</v>
      </c>
      <c r="B382" s="2">
        <v>46211</v>
      </c>
      <c r="C382" s="2"/>
      <c r="D382" t="s">
        <v>97</v>
      </c>
      <c r="E382" t="s">
        <v>115</v>
      </c>
      <c r="F382" t="s">
        <v>55</v>
      </c>
      <c r="G382">
        <v>4</v>
      </c>
      <c r="H382">
        <v>18000</v>
      </c>
      <c r="I382">
        <v>72000</v>
      </c>
      <c r="J382" t="s">
        <v>31</v>
      </c>
      <c r="K382" t="s">
        <v>146</v>
      </c>
    </row>
    <row r="383" spans="1:11" x14ac:dyDescent="0.35">
      <c r="A383" t="s">
        <v>501</v>
      </c>
      <c r="B383" s="2">
        <v>46212</v>
      </c>
      <c r="C383" s="2"/>
      <c r="D383" t="s">
        <v>82</v>
      </c>
      <c r="E383" t="s">
        <v>58</v>
      </c>
      <c r="F383" t="s">
        <v>66</v>
      </c>
      <c r="G383">
        <v>3</v>
      </c>
      <c r="H383">
        <v>18000</v>
      </c>
      <c r="I383">
        <v>54000</v>
      </c>
      <c r="J383" t="s">
        <v>31</v>
      </c>
      <c r="K383" t="s">
        <v>122</v>
      </c>
    </row>
    <row r="384" spans="1:11" x14ac:dyDescent="0.35">
      <c r="A384" t="s">
        <v>502</v>
      </c>
      <c r="B384" s="2">
        <v>46213</v>
      </c>
      <c r="C384" s="2"/>
      <c r="D384" t="s">
        <v>120</v>
      </c>
      <c r="E384" t="s">
        <v>80</v>
      </c>
      <c r="F384" t="s">
        <v>50</v>
      </c>
      <c r="G384">
        <v>5</v>
      </c>
      <c r="H384">
        <v>185000</v>
      </c>
      <c r="I384">
        <v>925000</v>
      </c>
      <c r="J384" t="s">
        <v>51</v>
      </c>
      <c r="K384" t="s">
        <v>37</v>
      </c>
    </row>
    <row r="385" spans="1:11" x14ac:dyDescent="0.35">
      <c r="A385" t="s">
        <v>503</v>
      </c>
      <c r="B385" s="2">
        <v>46214</v>
      </c>
      <c r="C385" s="2"/>
      <c r="D385" t="s">
        <v>82</v>
      </c>
      <c r="E385" t="s">
        <v>49</v>
      </c>
      <c r="F385" t="s">
        <v>41</v>
      </c>
      <c r="G385">
        <v>2</v>
      </c>
      <c r="H385">
        <v>280000</v>
      </c>
      <c r="I385">
        <v>560000</v>
      </c>
      <c r="J385" t="s">
        <v>51</v>
      </c>
      <c r="K385" t="s">
        <v>32</v>
      </c>
    </row>
    <row r="386" spans="1:11" x14ac:dyDescent="0.35">
      <c r="A386" t="s">
        <v>504</v>
      </c>
      <c r="B386" s="2">
        <v>46215</v>
      </c>
      <c r="C386" s="2"/>
      <c r="D386" t="s">
        <v>34</v>
      </c>
      <c r="E386" t="s">
        <v>115</v>
      </c>
      <c r="F386" t="s">
        <v>59</v>
      </c>
      <c r="G386">
        <v>5</v>
      </c>
      <c r="H386">
        <v>45000</v>
      </c>
      <c r="I386">
        <v>225000</v>
      </c>
      <c r="J386" t="s">
        <v>31</v>
      </c>
      <c r="K386" t="s">
        <v>46</v>
      </c>
    </row>
    <row r="387" spans="1:11" x14ac:dyDescent="0.35">
      <c r="A387" t="s">
        <v>505</v>
      </c>
      <c r="B387" s="2">
        <v>46216</v>
      </c>
      <c r="C387" s="2"/>
      <c r="D387" t="s">
        <v>48</v>
      </c>
      <c r="E387" t="s">
        <v>158</v>
      </c>
      <c r="F387" t="s">
        <v>45</v>
      </c>
      <c r="G387">
        <v>1</v>
      </c>
      <c r="H387">
        <v>95000</v>
      </c>
      <c r="I387">
        <v>95000</v>
      </c>
      <c r="J387" t="s">
        <v>36</v>
      </c>
      <c r="K387" t="s">
        <v>37</v>
      </c>
    </row>
    <row r="388" spans="1:11" x14ac:dyDescent="0.35">
      <c r="A388" t="s">
        <v>506</v>
      </c>
      <c r="B388" s="2">
        <v>46217</v>
      </c>
      <c r="C388" s="2"/>
      <c r="D388" t="s">
        <v>133</v>
      </c>
      <c r="E388" t="s">
        <v>76</v>
      </c>
      <c r="F388" t="s">
        <v>55</v>
      </c>
      <c r="G388">
        <v>3</v>
      </c>
      <c r="H388">
        <v>18000</v>
      </c>
      <c r="I388">
        <v>54000</v>
      </c>
      <c r="J388" t="s">
        <v>31</v>
      </c>
      <c r="K388" t="s">
        <v>56</v>
      </c>
    </row>
    <row r="389" spans="1:11" x14ac:dyDescent="0.35">
      <c r="A389" t="s">
        <v>507</v>
      </c>
      <c r="B389" s="2">
        <v>46218</v>
      </c>
      <c r="C389" s="2"/>
      <c r="D389" t="s">
        <v>53</v>
      </c>
      <c r="E389" t="s">
        <v>63</v>
      </c>
      <c r="F389" t="s">
        <v>66</v>
      </c>
      <c r="G389">
        <v>2</v>
      </c>
      <c r="H389">
        <v>185000</v>
      </c>
      <c r="I389">
        <v>370000</v>
      </c>
      <c r="J389" t="s">
        <v>36</v>
      </c>
      <c r="K389" t="s">
        <v>84</v>
      </c>
    </row>
    <row r="390" spans="1:11" x14ac:dyDescent="0.35">
      <c r="A390" t="s">
        <v>508</v>
      </c>
      <c r="B390" s="2">
        <v>46219</v>
      </c>
      <c r="C390" s="2"/>
      <c r="D390" t="s">
        <v>88</v>
      </c>
      <c r="E390" t="s">
        <v>121</v>
      </c>
      <c r="F390" t="s">
        <v>30</v>
      </c>
      <c r="G390">
        <v>4</v>
      </c>
      <c r="H390">
        <v>95000</v>
      </c>
      <c r="I390">
        <v>380000</v>
      </c>
      <c r="J390" t="s">
        <v>31</v>
      </c>
      <c r="K390" t="s">
        <v>84</v>
      </c>
    </row>
    <row r="391" spans="1:11" x14ac:dyDescent="0.35">
      <c r="A391" t="s">
        <v>509</v>
      </c>
      <c r="B391" s="2">
        <v>46220</v>
      </c>
      <c r="C391" s="2"/>
      <c r="D391" t="s">
        <v>112</v>
      </c>
      <c r="E391" t="s">
        <v>98</v>
      </c>
      <c r="F391" t="s">
        <v>50</v>
      </c>
      <c r="G391">
        <v>2</v>
      </c>
      <c r="H391">
        <v>280000</v>
      </c>
      <c r="I391">
        <v>560000</v>
      </c>
      <c r="J391" t="s">
        <v>36</v>
      </c>
      <c r="K391" t="s">
        <v>32</v>
      </c>
    </row>
    <row r="392" spans="1:11" x14ac:dyDescent="0.35">
      <c r="A392" t="s">
        <v>510</v>
      </c>
      <c r="B392" s="2">
        <v>46221</v>
      </c>
      <c r="C392" s="2"/>
      <c r="D392" t="s">
        <v>53</v>
      </c>
      <c r="E392" t="s">
        <v>188</v>
      </c>
      <c r="F392" t="s">
        <v>45</v>
      </c>
      <c r="G392">
        <v>4</v>
      </c>
      <c r="H392">
        <v>280000</v>
      </c>
      <c r="I392">
        <v>1120000</v>
      </c>
      <c r="J392" t="s">
        <v>51</v>
      </c>
      <c r="K392" t="s">
        <v>32</v>
      </c>
    </row>
    <row r="393" spans="1:11" x14ac:dyDescent="0.35">
      <c r="A393" t="s">
        <v>511</v>
      </c>
      <c r="B393" s="2">
        <v>46222</v>
      </c>
      <c r="C393" s="2"/>
      <c r="D393" t="s">
        <v>34</v>
      </c>
      <c r="E393" t="s">
        <v>239</v>
      </c>
      <c r="F393" t="s">
        <v>55</v>
      </c>
      <c r="G393">
        <v>2</v>
      </c>
      <c r="H393">
        <v>365000</v>
      </c>
      <c r="I393">
        <v>730000</v>
      </c>
      <c r="J393" t="s">
        <v>36</v>
      </c>
      <c r="K393" t="s">
        <v>56</v>
      </c>
    </row>
    <row r="394" spans="1:11" x14ac:dyDescent="0.35">
      <c r="A394" t="s">
        <v>512</v>
      </c>
      <c r="B394" s="2">
        <v>46223</v>
      </c>
      <c r="C394" s="2"/>
      <c r="D394" t="s">
        <v>109</v>
      </c>
      <c r="E394" t="s">
        <v>44</v>
      </c>
      <c r="F394" t="s">
        <v>41</v>
      </c>
      <c r="G394">
        <v>5</v>
      </c>
      <c r="H394">
        <v>185000</v>
      </c>
      <c r="I394">
        <v>925000</v>
      </c>
      <c r="J394" t="s">
        <v>31</v>
      </c>
      <c r="K394" t="s">
        <v>46</v>
      </c>
    </row>
    <row r="395" spans="1:11" x14ac:dyDescent="0.35">
      <c r="A395" t="s">
        <v>513</v>
      </c>
      <c r="B395" s="2">
        <v>46224</v>
      </c>
      <c r="C395" s="2"/>
      <c r="D395" t="s">
        <v>94</v>
      </c>
      <c r="E395" t="s">
        <v>100</v>
      </c>
      <c r="F395" t="s">
        <v>95</v>
      </c>
      <c r="G395">
        <v>5</v>
      </c>
      <c r="H395">
        <v>18000</v>
      </c>
      <c r="I395">
        <v>90000</v>
      </c>
      <c r="J395" t="s">
        <v>51</v>
      </c>
      <c r="K395" t="s">
        <v>32</v>
      </c>
    </row>
    <row r="396" spans="1:11" x14ac:dyDescent="0.35">
      <c r="A396" t="s">
        <v>514</v>
      </c>
      <c r="B396" s="2">
        <v>46225</v>
      </c>
      <c r="C396" s="2"/>
      <c r="D396" t="s">
        <v>145</v>
      </c>
      <c r="E396" t="s">
        <v>121</v>
      </c>
      <c r="F396" t="s">
        <v>50</v>
      </c>
      <c r="G396">
        <v>5</v>
      </c>
      <c r="H396">
        <v>45000</v>
      </c>
      <c r="I396">
        <v>225000</v>
      </c>
      <c r="J396" t="s">
        <v>36</v>
      </c>
      <c r="K396" t="s">
        <v>146</v>
      </c>
    </row>
    <row r="397" spans="1:11" x14ac:dyDescent="0.35">
      <c r="A397" t="s">
        <v>515</v>
      </c>
      <c r="B397" s="2">
        <v>46226</v>
      </c>
      <c r="C397" s="2"/>
      <c r="D397" t="s">
        <v>109</v>
      </c>
      <c r="E397" t="s">
        <v>143</v>
      </c>
      <c r="F397" t="s">
        <v>41</v>
      </c>
      <c r="G397">
        <v>1</v>
      </c>
      <c r="H397">
        <v>280000</v>
      </c>
      <c r="I397">
        <v>280000</v>
      </c>
      <c r="J397" t="s">
        <v>36</v>
      </c>
      <c r="K397" t="s">
        <v>46</v>
      </c>
    </row>
    <row r="398" spans="1:11" x14ac:dyDescent="0.35">
      <c r="A398" t="s">
        <v>516</v>
      </c>
      <c r="B398" s="2">
        <v>46227</v>
      </c>
      <c r="C398" s="2"/>
      <c r="D398" t="s">
        <v>131</v>
      </c>
      <c r="E398" t="s">
        <v>83</v>
      </c>
      <c r="F398" t="s">
        <v>55</v>
      </c>
      <c r="G398">
        <v>4</v>
      </c>
      <c r="H398">
        <v>45000</v>
      </c>
      <c r="I398">
        <v>180000</v>
      </c>
      <c r="J398" t="s">
        <v>36</v>
      </c>
      <c r="K398" t="s">
        <v>32</v>
      </c>
    </row>
    <row r="399" spans="1:11" x14ac:dyDescent="0.35">
      <c r="A399" t="s">
        <v>517</v>
      </c>
      <c r="B399" s="2">
        <v>46228</v>
      </c>
      <c r="C399" s="2"/>
      <c r="D399" t="s">
        <v>94</v>
      </c>
      <c r="E399" t="s">
        <v>113</v>
      </c>
      <c r="F399" t="s">
        <v>50</v>
      </c>
      <c r="G399">
        <v>5</v>
      </c>
      <c r="H399">
        <v>280000</v>
      </c>
      <c r="I399">
        <v>1400000</v>
      </c>
      <c r="J399" t="s">
        <v>36</v>
      </c>
      <c r="K399" t="s">
        <v>60</v>
      </c>
    </row>
    <row r="400" spans="1:11" x14ac:dyDescent="0.35">
      <c r="A400" t="s">
        <v>518</v>
      </c>
      <c r="B400" s="2">
        <v>46229</v>
      </c>
      <c r="C400" s="2"/>
      <c r="D400" t="s">
        <v>131</v>
      </c>
      <c r="E400" t="s">
        <v>115</v>
      </c>
      <c r="F400" t="s">
        <v>45</v>
      </c>
      <c r="G400">
        <v>1</v>
      </c>
      <c r="H400">
        <v>18000</v>
      </c>
      <c r="I400">
        <v>18000</v>
      </c>
      <c r="J400" t="s">
        <v>36</v>
      </c>
      <c r="K400" t="s">
        <v>37</v>
      </c>
    </row>
    <row r="401" spans="1:11" x14ac:dyDescent="0.35">
      <c r="A401" t="s">
        <v>519</v>
      </c>
      <c r="B401" s="2">
        <v>46230</v>
      </c>
      <c r="C401" s="2"/>
      <c r="D401" t="s">
        <v>39</v>
      </c>
      <c r="E401" t="s">
        <v>29</v>
      </c>
      <c r="F401" t="s">
        <v>55</v>
      </c>
      <c r="G401">
        <v>4</v>
      </c>
      <c r="H401">
        <v>95000</v>
      </c>
      <c r="I401">
        <v>380000</v>
      </c>
      <c r="J401" t="s">
        <v>51</v>
      </c>
      <c r="K401" t="s">
        <v>32</v>
      </c>
    </row>
    <row r="402" spans="1:11" x14ac:dyDescent="0.35">
      <c r="A402" t="s">
        <v>520</v>
      </c>
      <c r="B402" s="2">
        <v>46231</v>
      </c>
      <c r="C402" s="2"/>
      <c r="D402" t="s">
        <v>170</v>
      </c>
      <c r="E402" t="s">
        <v>40</v>
      </c>
      <c r="F402" t="s">
        <v>70</v>
      </c>
      <c r="G402">
        <v>2</v>
      </c>
      <c r="H402">
        <v>68000</v>
      </c>
      <c r="I402">
        <v>136000</v>
      </c>
      <c r="J402" t="s">
        <v>51</v>
      </c>
      <c r="K402" t="s">
        <v>146</v>
      </c>
    </row>
    <row r="403" spans="1:11" x14ac:dyDescent="0.35">
      <c r="A403" t="s">
        <v>521</v>
      </c>
      <c r="B403" s="2">
        <v>46232</v>
      </c>
      <c r="C403" s="2"/>
      <c r="D403" t="s">
        <v>177</v>
      </c>
      <c r="E403" t="s">
        <v>65</v>
      </c>
      <c r="F403" t="s">
        <v>66</v>
      </c>
      <c r="G403">
        <v>1</v>
      </c>
      <c r="H403">
        <v>95000</v>
      </c>
      <c r="I403">
        <v>95000</v>
      </c>
      <c r="J403" t="s">
        <v>51</v>
      </c>
      <c r="K403" t="s">
        <v>122</v>
      </c>
    </row>
    <row r="404" spans="1:11" x14ac:dyDescent="0.35">
      <c r="A404" t="s">
        <v>522</v>
      </c>
      <c r="B404" s="2">
        <v>46233</v>
      </c>
      <c r="C404" s="2"/>
      <c r="D404" t="s">
        <v>170</v>
      </c>
      <c r="E404" t="s">
        <v>65</v>
      </c>
      <c r="F404" t="s">
        <v>45</v>
      </c>
      <c r="G404">
        <v>3</v>
      </c>
      <c r="H404">
        <v>280000</v>
      </c>
      <c r="I404">
        <v>840000</v>
      </c>
      <c r="J404" t="s">
        <v>51</v>
      </c>
      <c r="K404" t="s">
        <v>32</v>
      </c>
    </row>
    <row r="405" spans="1:11" x14ac:dyDescent="0.35">
      <c r="A405" t="s">
        <v>523</v>
      </c>
      <c r="B405" s="2">
        <v>46234</v>
      </c>
      <c r="C405" s="2"/>
      <c r="D405" t="s">
        <v>102</v>
      </c>
      <c r="E405" t="s">
        <v>92</v>
      </c>
      <c r="F405" t="s">
        <v>50</v>
      </c>
      <c r="G405">
        <v>1</v>
      </c>
      <c r="H405">
        <v>540000</v>
      </c>
      <c r="I405">
        <v>540000</v>
      </c>
      <c r="J405" t="s">
        <v>31</v>
      </c>
      <c r="K405" t="s">
        <v>84</v>
      </c>
    </row>
    <row r="406" spans="1:11" x14ac:dyDescent="0.35">
      <c r="A406" t="s">
        <v>524</v>
      </c>
      <c r="B406" s="2">
        <v>46235</v>
      </c>
      <c r="C406" s="2"/>
      <c r="D406" t="s">
        <v>97</v>
      </c>
      <c r="E406" t="s">
        <v>125</v>
      </c>
      <c r="F406" t="s">
        <v>95</v>
      </c>
      <c r="G406">
        <v>1</v>
      </c>
      <c r="H406">
        <v>68000</v>
      </c>
      <c r="I406">
        <v>68000</v>
      </c>
      <c r="J406" t="s">
        <v>51</v>
      </c>
      <c r="K406" t="s">
        <v>84</v>
      </c>
    </row>
    <row r="407" spans="1:11" x14ac:dyDescent="0.35">
      <c r="A407" t="s">
        <v>525</v>
      </c>
      <c r="B407" s="2">
        <v>46236</v>
      </c>
      <c r="C407" s="2"/>
      <c r="D407" t="s">
        <v>94</v>
      </c>
      <c r="E407" t="s">
        <v>69</v>
      </c>
      <c r="F407" t="s">
        <v>41</v>
      </c>
      <c r="G407">
        <v>4</v>
      </c>
      <c r="H407">
        <v>68000</v>
      </c>
      <c r="I407">
        <v>272000</v>
      </c>
      <c r="J407" t="s">
        <v>36</v>
      </c>
      <c r="K407" t="s">
        <v>84</v>
      </c>
    </row>
    <row r="408" spans="1:11" x14ac:dyDescent="0.35">
      <c r="A408" t="s">
        <v>526</v>
      </c>
      <c r="B408" s="2">
        <v>46237</v>
      </c>
      <c r="C408" s="2"/>
      <c r="D408" t="s">
        <v>145</v>
      </c>
      <c r="E408" t="s">
        <v>107</v>
      </c>
      <c r="F408" t="s">
        <v>30</v>
      </c>
      <c r="G408">
        <v>2</v>
      </c>
      <c r="H408">
        <v>45000</v>
      </c>
      <c r="I408">
        <v>90000</v>
      </c>
      <c r="J408" t="s">
        <v>36</v>
      </c>
      <c r="K408" t="s">
        <v>122</v>
      </c>
    </row>
    <row r="409" spans="1:11" x14ac:dyDescent="0.35">
      <c r="A409" t="s">
        <v>527</v>
      </c>
      <c r="B409" s="2">
        <v>46238</v>
      </c>
      <c r="C409" s="2"/>
      <c r="D409" t="s">
        <v>39</v>
      </c>
      <c r="E409" t="s">
        <v>410</v>
      </c>
      <c r="F409" t="s">
        <v>41</v>
      </c>
      <c r="G409">
        <v>3</v>
      </c>
      <c r="H409">
        <v>185000</v>
      </c>
      <c r="I409">
        <v>555000</v>
      </c>
      <c r="J409" t="s">
        <v>51</v>
      </c>
      <c r="K409" t="s">
        <v>84</v>
      </c>
    </row>
    <row r="410" spans="1:11" x14ac:dyDescent="0.35">
      <c r="A410" t="s">
        <v>528</v>
      </c>
      <c r="B410" s="2">
        <v>46239</v>
      </c>
      <c r="C410" s="2"/>
      <c r="D410" t="s">
        <v>167</v>
      </c>
      <c r="E410" t="s">
        <v>103</v>
      </c>
      <c r="F410" t="s">
        <v>50</v>
      </c>
      <c r="G410">
        <v>5</v>
      </c>
      <c r="H410">
        <v>45000</v>
      </c>
      <c r="I410">
        <v>225000</v>
      </c>
      <c r="J410" t="s">
        <v>36</v>
      </c>
      <c r="K410" t="s">
        <v>60</v>
      </c>
    </row>
    <row r="411" spans="1:11" x14ac:dyDescent="0.35">
      <c r="A411" t="s">
        <v>529</v>
      </c>
      <c r="B411" s="2">
        <v>46240</v>
      </c>
      <c r="C411" s="2"/>
      <c r="D411" t="s">
        <v>88</v>
      </c>
      <c r="E411" t="s">
        <v>172</v>
      </c>
      <c r="F411" t="s">
        <v>41</v>
      </c>
      <c r="G411">
        <v>5</v>
      </c>
      <c r="H411">
        <v>45000</v>
      </c>
      <c r="I411">
        <v>225000</v>
      </c>
      <c r="J411" t="s">
        <v>51</v>
      </c>
      <c r="K411" t="s">
        <v>32</v>
      </c>
    </row>
    <row r="412" spans="1:11" x14ac:dyDescent="0.35">
      <c r="A412" t="s">
        <v>530</v>
      </c>
      <c r="B412" s="2">
        <v>46241</v>
      </c>
      <c r="C412" s="2"/>
      <c r="D412" t="s">
        <v>120</v>
      </c>
      <c r="E412" t="s">
        <v>153</v>
      </c>
      <c r="F412" t="s">
        <v>66</v>
      </c>
      <c r="G412">
        <v>1</v>
      </c>
      <c r="H412">
        <v>540000</v>
      </c>
      <c r="I412">
        <v>540000</v>
      </c>
      <c r="J412" t="s">
        <v>36</v>
      </c>
      <c r="K412" t="s">
        <v>56</v>
      </c>
    </row>
    <row r="413" spans="1:11" x14ac:dyDescent="0.35">
      <c r="A413" t="s">
        <v>531</v>
      </c>
      <c r="B413" s="2">
        <v>46242</v>
      </c>
      <c r="C413" s="2"/>
      <c r="D413" t="s">
        <v>88</v>
      </c>
      <c r="E413" t="s">
        <v>201</v>
      </c>
      <c r="F413" t="s">
        <v>55</v>
      </c>
      <c r="G413">
        <v>4</v>
      </c>
      <c r="H413">
        <v>95000</v>
      </c>
      <c r="I413">
        <v>380000</v>
      </c>
      <c r="J413" t="s">
        <v>31</v>
      </c>
      <c r="K413" t="s">
        <v>84</v>
      </c>
    </row>
    <row r="414" spans="1:11" x14ac:dyDescent="0.35">
      <c r="A414" t="s">
        <v>532</v>
      </c>
      <c r="B414" s="2">
        <v>46243</v>
      </c>
      <c r="C414" s="2"/>
      <c r="D414" t="s">
        <v>120</v>
      </c>
      <c r="E414" t="s">
        <v>253</v>
      </c>
      <c r="F414" t="s">
        <v>30</v>
      </c>
      <c r="G414">
        <v>4</v>
      </c>
      <c r="H414">
        <v>95000</v>
      </c>
      <c r="I414">
        <v>380000</v>
      </c>
      <c r="J414" t="s">
        <v>31</v>
      </c>
      <c r="K414" t="s">
        <v>46</v>
      </c>
    </row>
    <row r="415" spans="1:11" x14ac:dyDescent="0.35">
      <c r="A415" t="s">
        <v>533</v>
      </c>
      <c r="B415" s="2">
        <v>46244</v>
      </c>
      <c r="C415" s="2"/>
      <c r="D415" t="s">
        <v>177</v>
      </c>
      <c r="E415" t="s">
        <v>44</v>
      </c>
      <c r="F415" t="s">
        <v>35</v>
      </c>
      <c r="G415">
        <v>5</v>
      </c>
      <c r="H415">
        <v>120000</v>
      </c>
      <c r="I415">
        <v>600000</v>
      </c>
      <c r="J415" t="s">
        <v>51</v>
      </c>
      <c r="K415" t="s">
        <v>56</v>
      </c>
    </row>
    <row r="416" spans="1:11" x14ac:dyDescent="0.35">
      <c r="A416" t="s">
        <v>534</v>
      </c>
      <c r="B416" s="2">
        <v>46245</v>
      </c>
      <c r="C416" s="2"/>
      <c r="D416" t="s">
        <v>62</v>
      </c>
      <c r="E416" t="s">
        <v>335</v>
      </c>
      <c r="F416" t="s">
        <v>50</v>
      </c>
      <c r="G416">
        <v>3</v>
      </c>
      <c r="H416">
        <v>280000</v>
      </c>
      <c r="I416">
        <v>840000</v>
      </c>
      <c r="J416" t="s">
        <v>51</v>
      </c>
      <c r="K416" t="s">
        <v>122</v>
      </c>
    </row>
    <row r="417" spans="1:11" x14ac:dyDescent="0.35">
      <c r="A417" t="s">
        <v>535</v>
      </c>
      <c r="B417" s="2">
        <v>46246</v>
      </c>
      <c r="C417" s="2"/>
      <c r="D417" t="s">
        <v>145</v>
      </c>
      <c r="E417" t="s">
        <v>121</v>
      </c>
      <c r="F417" t="s">
        <v>59</v>
      </c>
      <c r="G417">
        <v>2</v>
      </c>
      <c r="H417">
        <v>540000</v>
      </c>
      <c r="I417">
        <v>1080000</v>
      </c>
      <c r="J417" t="s">
        <v>51</v>
      </c>
      <c r="K417" t="s">
        <v>60</v>
      </c>
    </row>
    <row r="418" spans="1:11" x14ac:dyDescent="0.35">
      <c r="A418" t="s">
        <v>536</v>
      </c>
      <c r="B418" s="2">
        <v>46247</v>
      </c>
      <c r="C418" s="2"/>
      <c r="D418" t="s">
        <v>34</v>
      </c>
      <c r="E418" t="s">
        <v>335</v>
      </c>
      <c r="F418" t="s">
        <v>35</v>
      </c>
      <c r="G418">
        <v>3</v>
      </c>
      <c r="H418">
        <v>120000</v>
      </c>
      <c r="I418">
        <v>360000</v>
      </c>
      <c r="J418" t="s">
        <v>36</v>
      </c>
      <c r="K418" t="s">
        <v>46</v>
      </c>
    </row>
    <row r="419" spans="1:11" x14ac:dyDescent="0.35">
      <c r="A419" t="s">
        <v>537</v>
      </c>
      <c r="B419" s="2">
        <v>46248</v>
      </c>
      <c r="C419" s="2"/>
      <c r="D419" t="s">
        <v>82</v>
      </c>
      <c r="E419" t="s">
        <v>83</v>
      </c>
      <c r="F419" t="s">
        <v>41</v>
      </c>
      <c r="G419">
        <v>2</v>
      </c>
      <c r="H419">
        <v>18000</v>
      </c>
      <c r="I419">
        <v>36000</v>
      </c>
      <c r="J419" t="s">
        <v>51</v>
      </c>
      <c r="K419" t="s">
        <v>46</v>
      </c>
    </row>
    <row r="420" spans="1:11" x14ac:dyDescent="0.35">
      <c r="A420" t="s">
        <v>538</v>
      </c>
      <c r="B420" s="2">
        <v>46249</v>
      </c>
      <c r="C420" s="2"/>
      <c r="D420" t="s">
        <v>53</v>
      </c>
      <c r="E420" t="s">
        <v>121</v>
      </c>
      <c r="F420" t="s">
        <v>50</v>
      </c>
      <c r="G420">
        <v>5</v>
      </c>
      <c r="H420">
        <v>280000</v>
      </c>
      <c r="I420">
        <v>1400000</v>
      </c>
      <c r="J420" t="s">
        <v>31</v>
      </c>
      <c r="K420" t="s">
        <v>46</v>
      </c>
    </row>
    <row r="421" spans="1:11" x14ac:dyDescent="0.35">
      <c r="A421" t="s">
        <v>539</v>
      </c>
      <c r="B421" s="2">
        <v>46250</v>
      </c>
      <c r="C421" s="2"/>
      <c r="D421" t="s">
        <v>28</v>
      </c>
      <c r="E421" t="s">
        <v>269</v>
      </c>
      <c r="F421" t="s">
        <v>70</v>
      </c>
      <c r="G421">
        <v>2</v>
      </c>
      <c r="H421">
        <v>280000</v>
      </c>
      <c r="I421">
        <v>560000</v>
      </c>
      <c r="J421" t="s">
        <v>36</v>
      </c>
      <c r="K421" t="s">
        <v>46</v>
      </c>
    </row>
    <row r="422" spans="1:11" x14ac:dyDescent="0.35">
      <c r="A422" t="s">
        <v>540</v>
      </c>
      <c r="B422" s="2">
        <v>46251</v>
      </c>
      <c r="C422" s="2"/>
      <c r="D422" t="s">
        <v>94</v>
      </c>
      <c r="E422" t="s">
        <v>65</v>
      </c>
      <c r="F422" t="s">
        <v>59</v>
      </c>
      <c r="G422">
        <v>4</v>
      </c>
      <c r="H422">
        <v>365000</v>
      </c>
      <c r="I422">
        <v>1460000</v>
      </c>
      <c r="J422" t="s">
        <v>51</v>
      </c>
      <c r="K422" t="s">
        <v>56</v>
      </c>
    </row>
    <row r="423" spans="1:11" x14ac:dyDescent="0.35">
      <c r="A423" t="s">
        <v>541</v>
      </c>
      <c r="B423" s="2">
        <v>46252</v>
      </c>
      <c r="C423" s="2"/>
      <c r="D423" t="s">
        <v>133</v>
      </c>
      <c r="E423" t="s">
        <v>410</v>
      </c>
      <c r="F423" t="s">
        <v>30</v>
      </c>
      <c r="G423">
        <v>1</v>
      </c>
      <c r="H423">
        <v>365000</v>
      </c>
      <c r="I423">
        <v>365000</v>
      </c>
      <c r="J423" t="s">
        <v>36</v>
      </c>
      <c r="K423" t="s">
        <v>56</v>
      </c>
    </row>
    <row r="424" spans="1:11" x14ac:dyDescent="0.35">
      <c r="A424" t="s">
        <v>542</v>
      </c>
      <c r="B424" s="2">
        <v>46253</v>
      </c>
      <c r="C424" s="2"/>
      <c r="D424" t="s">
        <v>120</v>
      </c>
      <c r="E424" t="s">
        <v>206</v>
      </c>
      <c r="F424" t="s">
        <v>95</v>
      </c>
      <c r="G424">
        <v>1</v>
      </c>
      <c r="H424">
        <v>28000</v>
      </c>
      <c r="I424">
        <v>28000</v>
      </c>
      <c r="J424" t="s">
        <v>36</v>
      </c>
      <c r="K424" t="s">
        <v>32</v>
      </c>
    </row>
    <row r="425" spans="1:11" x14ac:dyDescent="0.35">
      <c r="A425" t="s">
        <v>543</v>
      </c>
      <c r="B425" s="2">
        <v>46254</v>
      </c>
      <c r="C425" s="2"/>
      <c r="D425" t="s">
        <v>145</v>
      </c>
      <c r="E425" t="s">
        <v>121</v>
      </c>
      <c r="F425" t="s">
        <v>70</v>
      </c>
      <c r="G425">
        <v>5</v>
      </c>
      <c r="H425">
        <v>28000</v>
      </c>
      <c r="I425">
        <v>140000</v>
      </c>
      <c r="J425" t="s">
        <v>51</v>
      </c>
      <c r="K425" t="s">
        <v>84</v>
      </c>
    </row>
    <row r="426" spans="1:11" x14ac:dyDescent="0.35">
      <c r="A426" t="s">
        <v>544</v>
      </c>
      <c r="B426" s="2">
        <v>46255</v>
      </c>
      <c r="C426" s="2"/>
      <c r="D426" t="s">
        <v>106</v>
      </c>
      <c r="E426" t="s">
        <v>335</v>
      </c>
      <c r="F426" t="s">
        <v>35</v>
      </c>
      <c r="G426">
        <v>4</v>
      </c>
      <c r="H426">
        <v>45000</v>
      </c>
      <c r="I426">
        <v>180000</v>
      </c>
      <c r="J426" t="s">
        <v>36</v>
      </c>
      <c r="K426" t="s">
        <v>37</v>
      </c>
    </row>
    <row r="427" spans="1:11" x14ac:dyDescent="0.35">
      <c r="A427" t="s">
        <v>545</v>
      </c>
      <c r="B427" s="2">
        <v>46256</v>
      </c>
      <c r="C427" s="2"/>
      <c r="D427" t="s">
        <v>135</v>
      </c>
      <c r="E427" t="s">
        <v>178</v>
      </c>
      <c r="F427" t="s">
        <v>55</v>
      </c>
      <c r="G427">
        <v>3</v>
      </c>
      <c r="H427">
        <v>18000</v>
      </c>
      <c r="I427">
        <v>54000</v>
      </c>
      <c r="J427" t="s">
        <v>31</v>
      </c>
      <c r="K427" t="s">
        <v>32</v>
      </c>
    </row>
    <row r="428" spans="1:11" x14ac:dyDescent="0.35">
      <c r="A428" t="s">
        <v>546</v>
      </c>
      <c r="B428" s="2">
        <v>46257</v>
      </c>
      <c r="C428" s="2"/>
      <c r="D428" t="s">
        <v>72</v>
      </c>
      <c r="E428" t="s">
        <v>198</v>
      </c>
      <c r="F428" t="s">
        <v>66</v>
      </c>
      <c r="G428">
        <v>4</v>
      </c>
      <c r="H428">
        <v>68000</v>
      </c>
      <c r="I428">
        <v>272000</v>
      </c>
      <c r="J428" t="s">
        <v>31</v>
      </c>
      <c r="K428" t="s">
        <v>32</v>
      </c>
    </row>
    <row r="429" spans="1:11" x14ac:dyDescent="0.35">
      <c r="A429" t="s">
        <v>547</v>
      </c>
      <c r="B429" s="2">
        <v>46258</v>
      </c>
      <c r="C429" s="2"/>
      <c r="D429" t="s">
        <v>97</v>
      </c>
      <c r="E429" t="s">
        <v>410</v>
      </c>
      <c r="F429" t="s">
        <v>95</v>
      </c>
      <c r="G429">
        <v>1</v>
      </c>
      <c r="H429">
        <v>68000</v>
      </c>
      <c r="I429">
        <v>68000</v>
      </c>
      <c r="J429" t="s">
        <v>36</v>
      </c>
      <c r="K429" t="s">
        <v>60</v>
      </c>
    </row>
    <row r="430" spans="1:11" x14ac:dyDescent="0.35">
      <c r="A430" t="s">
        <v>548</v>
      </c>
      <c r="B430" s="2">
        <v>46259</v>
      </c>
      <c r="C430" s="2"/>
      <c r="D430" t="s">
        <v>75</v>
      </c>
      <c r="E430" t="s">
        <v>65</v>
      </c>
      <c r="F430" t="s">
        <v>70</v>
      </c>
      <c r="G430">
        <v>1</v>
      </c>
      <c r="H430">
        <v>365000</v>
      </c>
      <c r="I430">
        <v>365000</v>
      </c>
      <c r="J430" t="s">
        <v>51</v>
      </c>
      <c r="K430" t="s">
        <v>60</v>
      </c>
    </row>
    <row r="431" spans="1:11" x14ac:dyDescent="0.35">
      <c r="A431" t="s">
        <v>549</v>
      </c>
      <c r="B431" s="2">
        <v>46260</v>
      </c>
      <c r="C431" s="2"/>
      <c r="D431" t="s">
        <v>97</v>
      </c>
      <c r="E431" t="s">
        <v>86</v>
      </c>
      <c r="F431" t="s">
        <v>55</v>
      </c>
      <c r="G431">
        <v>4</v>
      </c>
      <c r="H431">
        <v>365000</v>
      </c>
      <c r="I431">
        <v>1460000</v>
      </c>
      <c r="J431" t="s">
        <v>36</v>
      </c>
      <c r="K431" t="s">
        <v>84</v>
      </c>
    </row>
    <row r="432" spans="1:11" x14ac:dyDescent="0.35">
      <c r="A432" t="s">
        <v>550</v>
      </c>
      <c r="B432" s="2">
        <v>46261</v>
      </c>
      <c r="C432" s="2"/>
      <c r="D432" t="s">
        <v>177</v>
      </c>
      <c r="E432" t="s">
        <v>92</v>
      </c>
      <c r="F432" t="s">
        <v>55</v>
      </c>
      <c r="G432">
        <v>4</v>
      </c>
      <c r="H432">
        <v>365000</v>
      </c>
      <c r="I432">
        <v>1460000</v>
      </c>
      <c r="J432" t="s">
        <v>31</v>
      </c>
      <c r="K432" t="s">
        <v>37</v>
      </c>
    </row>
    <row r="433" spans="1:11" x14ac:dyDescent="0.35">
      <c r="A433" t="s">
        <v>551</v>
      </c>
      <c r="B433" s="2">
        <v>46262</v>
      </c>
      <c r="C433" s="2"/>
      <c r="D433" t="s">
        <v>109</v>
      </c>
      <c r="E433" t="s">
        <v>40</v>
      </c>
      <c r="F433" t="s">
        <v>50</v>
      </c>
      <c r="G433">
        <v>1</v>
      </c>
      <c r="H433">
        <v>540000</v>
      </c>
      <c r="I433">
        <v>540000</v>
      </c>
      <c r="J433" t="s">
        <v>36</v>
      </c>
      <c r="K433" t="s">
        <v>60</v>
      </c>
    </row>
    <row r="434" spans="1:11" x14ac:dyDescent="0.35">
      <c r="A434" t="s">
        <v>552</v>
      </c>
      <c r="B434" s="2">
        <v>46263</v>
      </c>
      <c r="C434" s="2"/>
      <c r="D434" t="s">
        <v>112</v>
      </c>
      <c r="E434" t="s">
        <v>141</v>
      </c>
      <c r="F434" t="s">
        <v>70</v>
      </c>
      <c r="G434">
        <v>3</v>
      </c>
      <c r="H434">
        <v>185000</v>
      </c>
      <c r="I434">
        <v>555000</v>
      </c>
      <c r="J434" t="s">
        <v>36</v>
      </c>
      <c r="K434" t="s">
        <v>84</v>
      </c>
    </row>
    <row r="435" spans="1:11" x14ac:dyDescent="0.35">
      <c r="A435" t="s">
        <v>553</v>
      </c>
      <c r="B435" s="2">
        <v>46264</v>
      </c>
      <c r="C435" s="2"/>
      <c r="D435" t="s">
        <v>112</v>
      </c>
      <c r="E435" t="s">
        <v>49</v>
      </c>
      <c r="F435" t="s">
        <v>30</v>
      </c>
      <c r="G435">
        <v>5</v>
      </c>
      <c r="H435">
        <v>28000</v>
      </c>
      <c r="I435">
        <v>140000</v>
      </c>
      <c r="J435" t="s">
        <v>31</v>
      </c>
      <c r="K435" t="s">
        <v>84</v>
      </c>
    </row>
    <row r="436" spans="1:11" x14ac:dyDescent="0.35">
      <c r="A436" t="s">
        <v>554</v>
      </c>
      <c r="B436" s="2">
        <v>46265</v>
      </c>
      <c r="C436" s="2"/>
      <c r="D436" t="s">
        <v>236</v>
      </c>
      <c r="E436" t="s">
        <v>183</v>
      </c>
      <c r="F436" t="s">
        <v>41</v>
      </c>
      <c r="G436">
        <v>5</v>
      </c>
      <c r="H436">
        <v>540000</v>
      </c>
      <c r="I436">
        <v>2700000</v>
      </c>
      <c r="J436" t="s">
        <v>36</v>
      </c>
      <c r="K436" t="s">
        <v>56</v>
      </c>
    </row>
    <row r="437" spans="1:11" x14ac:dyDescent="0.35">
      <c r="A437" t="s">
        <v>555</v>
      </c>
      <c r="B437" s="2">
        <v>46266</v>
      </c>
      <c r="C437" s="2"/>
      <c r="D437" t="s">
        <v>72</v>
      </c>
      <c r="E437" t="s">
        <v>92</v>
      </c>
      <c r="F437" t="s">
        <v>59</v>
      </c>
      <c r="G437">
        <v>4</v>
      </c>
      <c r="H437">
        <v>95000</v>
      </c>
      <c r="I437">
        <v>380000</v>
      </c>
      <c r="J437" t="s">
        <v>36</v>
      </c>
      <c r="K437" t="s">
        <v>146</v>
      </c>
    </row>
    <row r="438" spans="1:11" x14ac:dyDescent="0.35">
      <c r="A438" t="s">
        <v>556</v>
      </c>
      <c r="B438" s="2">
        <v>46267</v>
      </c>
      <c r="C438" s="2"/>
      <c r="D438" t="s">
        <v>97</v>
      </c>
      <c r="E438" t="s">
        <v>183</v>
      </c>
      <c r="F438" t="s">
        <v>59</v>
      </c>
      <c r="G438">
        <v>5</v>
      </c>
      <c r="H438">
        <v>68000</v>
      </c>
      <c r="I438">
        <v>340000</v>
      </c>
      <c r="J438" t="s">
        <v>51</v>
      </c>
      <c r="K438" t="s">
        <v>56</v>
      </c>
    </row>
    <row r="439" spans="1:11" x14ac:dyDescent="0.35">
      <c r="A439" t="s">
        <v>557</v>
      </c>
      <c r="B439" s="2">
        <v>46268</v>
      </c>
      <c r="C439" s="2"/>
      <c r="D439" t="s">
        <v>53</v>
      </c>
      <c r="E439" t="s">
        <v>92</v>
      </c>
      <c r="F439" t="s">
        <v>35</v>
      </c>
      <c r="G439">
        <v>1</v>
      </c>
      <c r="H439">
        <v>280000</v>
      </c>
      <c r="I439">
        <v>280000</v>
      </c>
      <c r="J439" t="s">
        <v>51</v>
      </c>
      <c r="K439" t="s">
        <v>37</v>
      </c>
    </row>
    <row r="440" spans="1:11" x14ac:dyDescent="0.35">
      <c r="A440" t="s">
        <v>558</v>
      </c>
      <c r="B440" s="2">
        <v>46269</v>
      </c>
      <c r="C440" s="2"/>
      <c r="D440" t="s">
        <v>135</v>
      </c>
      <c r="E440" t="s">
        <v>208</v>
      </c>
      <c r="F440" t="s">
        <v>35</v>
      </c>
      <c r="G440">
        <v>1</v>
      </c>
      <c r="H440">
        <v>28000</v>
      </c>
      <c r="I440">
        <v>28000</v>
      </c>
      <c r="J440" t="s">
        <v>31</v>
      </c>
      <c r="K440" t="s">
        <v>60</v>
      </c>
    </row>
    <row r="441" spans="1:11" x14ac:dyDescent="0.35">
      <c r="A441" t="s">
        <v>559</v>
      </c>
      <c r="B441" s="2">
        <v>46270</v>
      </c>
      <c r="C441" s="2"/>
      <c r="D441" t="s">
        <v>135</v>
      </c>
      <c r="E441" t="s">
        <v>198</v>
      </c>
      <c r="F441" t="s">
        <v>59</v>
      </c>
      <c r="G441">
        <v>4</v>
      </c>
      <c r="H441">
        <v>120000</v>
      </c>
      <c r="I441">
        <v>480000</v>
      </c>
      <c r="J441" t="s">
        <v>31</v>
      </c>
      <c r="K441" t="s">
        <v>37</v>
      </c>
    </row>
    <row r="442" spans="1:11" x14ac:dyDescent="0.35">
      <c r="A442" t="s">
        <v>560</v>
      </c>
      <c r="B442" s="2">
        <v>46271</v>
      </c>
      <c r="C442" s="2"/>
      <c r="D442" t="s">
        <v>102</v>
      </c>
      <c r="E442" t="s">
        <v>40</v>
      </c>
      <c r="F442" t="s">
        <v>30</v>
      </c>
      <c r="G442">
        <v>4</v>
      </c>
      <c r="H442">
        <v>95000</v>
      </c>
      <c r="I442">
        <v>380000</v>
      </c>
      <c r="J442" t="s">
        <v>31</v>
      </c>
      <c r="K442" t="s">
        <v>32</v>
      </c>
    </row>
    <row r="443" spans="1:11" x14ac:dyDescent="0.35">
      <c r="A443" t="s">
        <v>561</v>
      </c>
      <c r="B443" s="2">
        <v>46272</v>
      </c>
      <c r="C443" s="2"/>
      <c r="D443" t="s">
        <v>62</v>
      </c>
      <c r="E443" t="s">
        <v>121</v>
      </c>
      <c r="F443" t="s">
        <v>66</v>
      </c>
      <c r="G443">
        <v>4</v>
      </c>
      <c r="H443">
        <v>28000</v>
      </c>
      <c r="I443">
        <v>112000</v>
      </c>
      <c r="J443" t="s">
        <v>51</v>
      </c>
      <c r="K443" t="s">
        <v>32</v>
      </c>
    </row>
    <row r="444" spans="1:11" x14ac:dyDescent="0.35">
      <c r="A444" t="s">
        <v>562</v>
      </c>
      <c r="B444" s="2">
        <v>46273</v>
      </c>
      <c r="C444" s="2"/>
      <c r="D444" t="s">
        <v>109</v>
      </c>
      <c r="E444" t="s">
        <v>54</v>
      </c>
      <c r="F444" t="s">
        <v>45</v>
      </c>
      <c r="G444">
        <v>3</v>
      </c>
      <c r="H444">
        <v>540000</v>
      </c>
      <c r="I444">
        <v>1620000</v>
      </c>
      <c r="J444" t="s">
        <v>31</v>
      </c>
      <c r="K444" t="s">
        <v>37</v>
      </c>
    </row>
    <row r="445" spans="1:11" x14ac:dyDescent="0.35">
      <c r="A445" t="s">
        <v>563</v>
      </c>
      <c r="B445" s="2">
        <v>46274</v>
      </c>
      <c r="C445" s="2"/>
      <c r="D445" t="s">
        <v>120</v>
      </c>
      <c r="E445" t="s">
        <v>201</v>
      </c>
      <c r="F445" t="s">
        <v>41</v>
      </c>
      <c r="G445">
        <v>5</v>
      </c>
      <c r="H445">
        <v>18000</v>
      </c>
      <c r="I445">
        <v>90000</v>
      </c>
      <c r="J445" t="s">
        <v>31</v>
      </c>
      <c r="K445" t="s">
        <v>146</v>
      </c>
    </row>
    <row r="446" spans="1:11" x14ac:dyDescent="0.35">
      <c r="A446" t="s">
        <v>564</v>
      </c>
      <c r="B446" s="2">
        <v>46275</v>
      </c>
      <c r="C446" s="2"/>
      <c r="D446" t="s">
        <v>117</v>
      </c>
      <c r="E446" t="s">
        <v>80</v>
      </c>
      <c r="F446" t="s">
        <v>66</v>
      </c>
      <c r="G446">
        <v>4</v>
      </c>
      <c r="H446">
        <v>280000</v>
      </c>
      <c r="I446">
        <v>1120000</v>
      </c>
      <c r="J446" t="s">
        <v>31</v>
      </c>
      <c r="K446" t="s">
        <v>146</v>
      </c>
    </row>
    <row r="447" spans="1:11" x14ac:dyDescent="0.35">
      <c r="A447" t="s">
        <v>565</v>
      </c>
      <c r="B447" s="2">
        <v>46276</v>
      </c>
      <c r="C447" s="2"/>
      <c r="D447" t="s">
        <v>43</v>
      </c>
      <c r="E447" t="s">
        <v>216</v>
      </c>
      <c r="F447" t="s">
        <v>50</v>
      </c>
      <c r="G447">
        <v>2</v>
      </c>
      <c r="H447">
        <v>28000</v>
      </c>
      <c r="I447">
        <v>56000</v>
      </c>
      <c r="J447" t="s">
        <v>51</v>
      </c>
      <c r="K447" t="s">
        <v>56</v>
      </c>
    </row>
    <row r="448" spans="1:11" x14ac:dyDescent="0.35">
      <c r="A448" t="s">
        <v>566</v>
      </c>
      <c r="B448" s="2">
        <v>46277</v>
      </c>
      <c r="C448" s="2"/>
      <c r="D448" t="s">
        <v>120</v>
      </c>
      <c r="E448" t="s">
        <v>216</v>
      </c>
      <c r="F448" t="s">
        <v>45</v>
      </c>
      <c r="G448">
        <v>2</v>
      </c>
      <c r="H448">
        <v>185000</v>
      </c>
      <c r="I448">
        <v>370000</v>
      </c>
      <c r="J448" t="s">
        <v>36</v>
      </c>
      <c r="K448" t="s">
        <v>37</v>
      </c>
    </row>
    <row r="449" spans="1:11" x14ac:dyDescent="0.35">
      <c r="A449" t="s">
        <v>567</v>
      </c>
      <c r="B449" s="2">
        <v>46278</v>
      </c>
      <c r="C449" s="2"/>
      <c r="D449" t="s">
        <v>161</v>
      </c>
      <c r="E449" t="s">
        <v>125</v>
      </c>
      <c r="F449" t="s">
        <v>45</v>
      </c>
      <c r="G449">
        <v>1</v>
      </c>
      <c r="H449">
        <v>365000</v>
      </c>
      <c r="I449">
        <v>365000</v>
      </c>
      <c r="J449" t="s">
        <v>31</v>
      </c>
      <c r="K449" t="s">
        <v>60</v>
      </c>
    </row>
    <row r="450" spans="1:11" x14ac:dyDescent="0.35">
      <c r="A450" t="s">
        <v>568</v>
      </c>
      <c r="B450" s="2">
        <v>46279</v>
      </c>
      <c r="C450" s="2"/>
      <c r="D450" t="s">
        <v>117</v>
      </c>
      <c r="E450" t="s">
        <v>253</v>
      </c>
      <c r="F450" t="s">
        <v>70</v>
      </c>
      <c r="G450">
        <v>5</v>
      </c>
      <c r="H450">
        <v>365000</v>
      </c>
      <c r="I450">
        <v>1825000</v>
      </c>
      <c r="J450" t="s">
        <v>36</v>
      </c>
      <c r="K450" t="s">
        <v>56</v>
      </c>
    </row>
    <row r="451" spans="1:11" x14ac:dyDescent="0.35">
      <c r="A451" t="s">
        <v>569</v>
      </c>
      <c r="B451" s="2">
        <v>46280</v>
      </c>
      <c r="C451" s="2"/>
      <c r="D451" t="s">
        <v>39</v>
      </c>
      <c r="E451" t="s">
        <v>69</v>
      </c>
      <c r="F451" t="s">
        <v>30</v>
      </c>
      <c r="G451">
        <v>4</v>
      </c>
      <c r="H451">
        <v>280000</v>
      </c>
      <c r="I451">
        <v>1120000</v>
      </c>
      <c r="J451" t="s">
        <v>31</v>
      </c>
      <c r="K451" t="s">
        <v>122</v>
      </c>
    </row>
    <row r="452" spans="1:11" x14ac:dyDescent="0.35">
      <c r="A452" t="s">
        <v>570</v>
      </c>
      <c r="B452" s="2">
        <v>46281</v>
      </c>
      <c r="C452" s="2"/>
      <c r="D452" t="s">
        <v>145</v>
      </c>
      <c r="E452" t="s">
        <v>107</v>
      </c>
      <c r="F452" t="s">
        <v>30</v>
      </c>
      <c r="G452">
        <v>2</v>
      </c>
      <c r="H452">
        <v>540000</v>
      </c>
      <c r="I452">
        <v>1080000</v>
      </c>
      <c r="J452" t="s">
        <v>36</v>
      </c>
      <c r="K452" t="s">
        <v>146</v>
      </c>
    </row>
    <row r="453" spans="1:11" x14ac:dyDescent="0.35">
      <c r="A453" t="s">
        <v>571</v>
      </c>
      <c r="B453" s="2">
        <v>46282</v>
      </c>
      <c r="C453" s="2"/>
      <c r="D453" t="s">
        <v>72</v>
      </c>
      <c r="E453" t="s">
        <v>78</v>
      </c>
      <c r="F453" t="s">
        <v>45</v>
      </c>
      <c r="G453">
        <v>5</v>
      </c>
      <c r="H453">
        <v>365000</v>
      </c>
      <c r="I453">
        <v>1825000</v>
      </c>
      <c r="J453" t="s">
        <v>51</v>
      </c>
      <c r="K453" t="s">
        <v>46</v>
      </c>
    </row>
    <row r="454" spans="1:11" x14ac:dyDescent="0.35">
      <c r="A454" t="s">
        <v>572</v>
      </c>
      <c r="B454" s="2">
        <v>46283</v>
      </c>
      <c r="C454" s="2"/>
      <c r="D454" t="s">
        <v>88</v>
      </c>
      <c r="E454" t="s">
        <v>188</v>
      </c>
      <c r="F454" t="s">
        <v>70</v>
      </c>
      <c r="G454">
        <v>1</v>
      </c>
      <c r="H454">
        <v>28000</v>
      </c>
      <c r="I454">
        <v>28000</v>
      </c>
      <c r="J454" t="s">
        <v>51</v>
      </c>
      <c r="K454" t="s">
        <v>56</v>
      </c>
    </row>
    <row r="455" spans="1:11" x14ac:dyDescent="0.35">
      <c r="A455" t="s">
        <v>573</v>
      </c>
      <c r="B455" s="2">
        <v>46284</v>
      </c>
      <c r="C455" s="2"/>
      <c r="D455" t="s">
        <v>94</v>
      </c>
      <c r="E455" t="s">
        <v>253</v>
      </c>
      <c r="F455" t="s">
        <v>41</v>
      </c>
      <c r="G455">
        <v>3</v>
      </c>
      <c r="H455">
        <v>120000</v>
      </c>
      <c r="I455">
        <v>360000</v>
      </c>
      <c r="J455" t="s">
        <v>31</v>
      </c>
      <c r="K455" t="s">
        <v>32</v>
      </c>
    </row>
    <row r="456" spans="1:11" x14ac:dyDescent="0.35">
      <c r="A456" t="s">
        <v>574</v>
      </c>
      <c r="B456" s="2">
        <v>46285</v>
      </c>
      <c r="C456" s="2"/>
      <c r="D456" t="s">
        <v>133</v>
      </c>
      <c r="E456" t="s">
        <v>78</v>
      </c>
      <c r="F456" t="s">
        <v>45</v>
      </c>
      <c r="G456">
        <v>5</v>
      </c>
      <c r="H456">
        <v>68000</v>
      </c>
      <c r="I456">
        <v>340000</v>
      </c>
      <c r="J456" t="s">
        <v>36</v>
      </c>
      <c r="K456" t="s">
        <v>56</v>
      </c>
    </row>
    <row r="457" spans="1:11" x14ac:dyDescent="0.35">
      <c r="A457" t="s">
        <v>575</v>
      </c>
      <c r="B457" s="2">
        <v>46286</v>
      </c>
      <c r="C457" s="2"/>
      <c r="D457" t="s">
        <v>133</v>
      </c>
      <c r="E457" t="s">
        <v>239</v>
      </c>
      <c r="F457" t="s">
        <v>95</v>
      </c>
      <c r="G457">
        <v>5</v>
      </c>
      <c r="H457">
        <v>68000</v>
      </c>
      <c r="I457">
        <v>340000</v>
      </c>
      <c r="J457" t="s">
        <v>51</v>
      </c>
      <c r="K457" t="s">
        <v>37</v>
      </c>
    </row>
    <row r="458" spans="1:11" x14ac:dyDescent="0.35">
      <c r="A458" t="s">
        <v>576</v>
      </c>
      <c r="B458" s="2">
        <v>46287</v>
      </c>
      <c r="C458" s="2"/>
      <c r="D458" t="s">
        <v>106</v>
      </c>
      <c r="E458" t="s">
        <v>49</v>
      </c>
      <c r="F458" t="s">
        <v>35</v>
      </c>
      <c r="G458">
        <v>3</v>
      </c>
      <c r="H458">
        <v>95000</v>
      </c>
      <c r="I458">
        <v>285000</v>
      </c>
      <c r="J458" t="s">
        <v>31</v>
      </c>
      <c r="K458" t="s">
        <v>46</v>
      </c>
    </row>
    <row r="459" spans="1:11" x14ac:dyDescent="0.35">
      <c r="A459" t="s">
        <v>577</v>
      </c>
      <c r="B459" s="2">
        <v>46288</v>
      </c>
      <c r="C459" s="2"/>
      <c r="D459" t="s">
        <v>117</v>
      </c>
      <c r="E459" t="s">
        <v>76</v>
      </c>
      <c r="F459" t="s">
        <v>35</v>
      </c>
      <c r="G459">
        <v>5</v>
      </c>
      <c r="H459">
        <v>45000</v>
      </c>
      <c r="I459">
        <v>225000</v>
      </c>
      <c r="J459" t="s">
        <v>31</v>
      </c>
      <c r="K459" t="s">
        <v>37</v>
      </c>
    </row>
    <row r="460" spans="1:11" x14ac:dyDescent="0.35">
      <c r="A460" t="s">
        <v>578</v>
      </c>
      <c r="B460" s="2">
        <v>46289</v>
      </c>
      <c r="C460" s="2"/>
      <c r="D460" t="s">
        <v>109</v>
      </c>
      <c r="E460" t="s">
        <v>49</v>
      </c>
      <c r="F460" t="s">
        <v>66</v>
      </c>
      <c r="G460">
        <v>1</v>
      </c>
      <c r="H460">
        <v>18000</v>
      </c>
      <c r="I460">
        <v>18000</v>
      </c>
      <c r="J460" t="s">
        <v>51</v>
      </c>
      <c r="K460" t="s">
        <v>84</v>
      </c>
    </row>
    <row r="461" spans="1:11" x14ac:dyDescent="0.35">
      <c r="A461" t="s">
        <v>579</v>
      </c>
      <c r="B461" s="2">
        <v>46290</v>
      </c>
      <c r="C461" s="2"/>
      <c r="D461" t="s">
        <v>39</v>
      </c>
      <c r="E461" t="s">
        <v>127</v>
      </c>
      <c r="F461" t="s">
        <v>50</v>
      </c>
      <c r="G461">
        <v>1</v>
      </c>
      <c r="H461">
        <v>280000</v>
      </c>
      <c r="I461">
        <v>280000</v>
      </c>
      <c r="J461" t="s">
        <v>51</v>
      </c>
      <c r="K461" t="s">
        <v>32</v>
      </c>
    </row>
    <row r="462" spans="1:11" x14ac:dyDescent="0.35">
      <c r="A462" t="s">
        <v>580</v>
      </c>
      <c r="B462" s="2">
        <v>46291</v>
      </c>
      <c r="C462" s="2"/>
      <c r="D462" t="s">
        <v>177</v>
      </c>
      <c r="E462" t="s">
        <v>143</v>
      </c>
      <c r="F462" t="s">
        <v>35</v>
      </c>
      <c r="G462">
        <v>3</v>
      </c>
      <c r="H462">
        <v>95000</v>
      </c>
      <c r="I462">
        <v>285000</v>
      </c>
      <c r="J462" t="s">
        <v>31</v>
      </c>
      <c r="K462" t="s">
        <v>32</v>
      </c>
    </row>
    <row r="463" spans="1:11" x14ac:dyDescent="0.35">
      <c r="A463" t="s">
        <v>581</v>
      </c>
      <c r="B463" s="2">
        <v>46292</v>
      </c>
      <c r="C463" s="2"/>
      <c r="D463" t="s">
        <v>62</v>
      </c>
      <c r="E463" t="s">
        <v>63</v>
      </c>
      <c r="F463" t="s">
        <v>55</v>
      </c>
      <c r="G463">
        <v>4</v>
      </c>
      <c r="H463">
        <v>45000</v>
      </c>
      <c r="I463">
        <v>180000</v>
      </c>
      <c r="J463" t="s">
        <v>36</v>
      </c>
      <c r="K463" t="s">
        <v>146</v>
      </c>
    </row>
    <row r="464" spans="1:11" x14ac:dyDescent="0.35">
      <c r="A464" t="s">
        <v>582</v>
      </c>
      <c r="B464" s="2">
        <v>46293</v>
      </c>
      <c r="C464" s="2"/>
      <c r="D464" t="s">
        <v>112</v>
      </c>
      <c r="E464" t="s">
        <v>143</v>
      </c>
      <c r="F464" t="s">
        <v>66</v>
      </c>
      <c r="G464">
        <v>2</v>
      </c>
      <c r="H464">
        <v>540000</v>
      </c>
      <c r="I464">
        <v>1080000</v>
      </c>
      <c r="J464" t="s">
        <v>36</v>
      </c>
      <c r="K464" t="s">
        <v>56</v>
      </c>
    </row>
    <row r="465" spans="1:11" x14ac:dyDescent="0.35">
      <c r="A465" t="s">
        <v>583</v>
      </c>
      <c r="B465" s="2">
        <v>46294</v>
      </c>
      <c r="C465" s="2"/>
      <c r="D465" t="s">
        <v>94</v>
      </c>
      <c r="E465" t="s">
        <v>206</v>
      </c>
      <c r="F465" t="s">
        <v>35</v>
      </c>
      <c r="G465">
        <v>4</v>
      </c>
      <c r="H465">
        <v>185000</v>
      </c>
      <c r="I465">
        <v>740000</v>
      </c>
      <c r="J465" t="s">
        <v>36</v>
      </c>
      <c r="K465" t="s">
        <v>146</v>
      </c>
    </row>
    <row r="466" spans="1:11" x14ac:dyDescent="0.35">
      <c r="A466" t="s">
        <v>584</v>
      </c>
      <c r="B466" s="2">
        <v>46295</v>
      </c>
      <c r="C466" s="2"/>
      <c r="D466" t="s">
        <v>117</v>
      </c>
      <c r="E466" t="s">
        <v>141</v>
      </c>
      <c r="F466" t="s">
        <v>50</v>
      </c>
      <c r="G466">
        <v>5</v>
      </c>
      <c r="H466">
        <v>185000</v>
      </c>
      <c r="I466">
        <v>925000</v>
      </c>
      <c r="J466" t="s">
        <v>31</v>
      </c>
      <c r="K466" t="s">
        <v>46</v>
      </c>
    </row>
    <row r="467" spans="1:11" x14ac:dyDescent="0.35">
      <c r="A467" t="s">
        <v>585</v>
      </c>
      <c r="B467" s="2">
        <v>46296</v>
      </c>
      <c r="C467" s="2"/>
      <c r="D467" t="s">
        <v>167</v>
      </c>
      <c r="E467" t="s">
        <v>63</v>
      </c>
      <c r="F467" t="s">
        <v>30</v>
      </c>
      <c r="G467">
        <v>2</v>
      </c>
      <c r="H467">
        <v>18000</v>
      </c>
      <c r="I467">
        <v>36000</v>
      </c>
      <c r="J467" t="s">
        <v>51</v>
      </c>
      <c r="K467" t="s">
        <v>56</v>
      </c>
    </row>
    <row r="468" spans="1:11" x14ac:dyDescent="0.35">
      <c r="A468" t="s">
        <v>586</v>
      </c>
      <c r="B468" s="2">
        <v>46297</v>
      </c>
      <c r="C468" s="2"/>
      <c r="D468" t="s">
        <v>161</v>
      </c>
      <c r="E468" t="s">
        <v>83</v>
      </c>
      <c r="F468" t="s">
        <v>30</v>
      </c>
      <c r="G468">
        <v>3</v>
      </c>
      <c r="H468">
        <v>365000</v>
      </c>
      <c r="I468">
        <v>1095000</v>
      </c>
      <c r="J468" t="s">
        <v>31</v>
      </c>
      <c r="K468" t="s">
        <v>84</v>
      </c>
    </row>
    <row r="469" spans="1:11" x14ac:dyDescent="0.35">
      <c r="A469" t="s">
        <v>587</v>
      </c>
      <c r="B469" s="2">
        <v>46298</v>
      </c>
      <c r="C469" s="2"/>
      <c r="D469" t="s">
        <v>82</v>
      </c>
      <c r="E469" t="s">
        <v>90</v>
      </c>
      <c r="F469" t="s">
        <v>41</v>
      </c>
      <c r="G469">
        <v>3</v>
      </c>
      <c r="H469">
        <v>28000</v>
      </c>
      <c r="I469">
        <v>84000</v>
      </c>
      <c r="J469" t="s">
        <v>51</v>
      </c>
      <c r="K469" t="s">
        <v>37</v>
      </c>
    </row>
    <row r="470" spans="1:11" x14ac:dyDescent="0.35">
      <c r="A470" t="s">
        <v>588</v>
      </c>
      <c r="B470" s="2">
        <v>46299</v>
      </c>
      <c r="C470" s="2"/>
      <c r="D470" t="s">
        <v>39</v>
      </c>
      <c r="E470" t="s">
        <v>172</v>
      </c>
      <c r="F470" t="s">
        <v>45</v>
      </c>
      <c r="G470">
        <v>2</v>
      </c>
      <c r="H470">
        <v>95000</v>
      </c>
      <c r="I470">
        <v>190000</v>
      </c>
      <c r="J470" t="s">
        <v>36</v>
      </c>
      <c r="K470" t="s">
        <v>84</v>
      </c>
    </row>
    <row r="471" spans="1:11" x14ac:dyDescent="0.35">
      <c r="A471" t="s">
        <v>589</v>
      </c>
      <c r="B471" s="2">
        <v>46300</v>
      </c>
      <c r="C471" s="2"/>
      <c r="D471" t="s">
        <v>133</v>
      </c>
      <c r="E471" t="s">
        <v>40</v>
      </c>
      <c r="F471" t="s">
        <v>95</v>
      </c>
      <c r="G471">
        <v>1</v>
      </c>
      <c r="H471">
        <v>95000</v>
      </c>
      <c r="I471">
        <v>95000</v>
      </c>
      <c r="J471" t="s">
        <v>36</v>
      </c>
      <c r="K471" t="s">
        <v>32</v>
      </c>
    </row>
    <row r="472" spans="1:11" x14ac:dyDescent="0.35">
      <c r="A472" t="s">
        <v>590</v>
      </c>
      <c r="B472" s="2">
        <v>46301</v>
      </c>
      <c r="C472" s="2"/>
      <c r="D472" t="s">
        <v>177</v>
      </c>
      <c r="E472" t="s">
        <v>269</v>
      </c>
      <c r="F472" t="s">
        <v>30</v>
      </c>
      <c r="G472">
        <v>2</v>
      </c>
      <c r="H472">
        <v>280000</v>
      </c>
      <c r="I472">
        <v>560000</v>
      </c>
      <c r="J472" t="s">
        <v>51</v>
      </c>
      <c r="K472" t="s">
        <v>46</v>
      </c>
    </row>
    <row r="473" spans="1:11" x14ac:dyDescent="0.35">
      <c r="A473" t="s">
        <v>591</v>
      </c>
      <c r="B473" s="2">
        <v>46302</v>
      </c>
      <c r="C473" s="2"/>
      <c r="D473" t="s">
        <v>62</v>
      </c>
      <c r="E473" t="s">
        <v>98</v>
      </c>
      <c r="F473" t="s">
        <v>70</v>
      </c>
      <c r="G473">
        <v>5</v>
      </c>
      <c r="H473">
        <v>280000</v>
      </c>
      <c r="I473">
        <v>1400000</v>
      </c>
      <c r="J473" t="s">
        <v>51</v>
      </c>
      <c r="K473" t="s">
        <v>122</v>
      </c>
    </row>
    <row r="474" spans="1:11" x14ac:dyDescent="0.35">
      <c r="A474" t="s">
        <v>592</v>
      </c>
      <c r="B474" s="2">
        <v>46303</v>
      </c>
      <c r="C474" s="2"/>
      <c r="D474" t="s">
        <v>94</v>
      </c>
      <c r="E474" t="s">
        <v>86</v>
      </c>
      <c r="F474" t="s">
        <v>35</v>
      </c>
      <c r="G474">
        <v>1</v>
      </c>
      <c r="H474">
        <v>185000</v>
      </c>
      <c r="I474">
        <v>185000</v>
      </c>
      <c r="J474" t="s">
        <v>31</v>
      </c>
      <c r="K474" t="s">
        <v>46</v>
      </c>
    </row>
    <row r="475" spans="1:11" x14ac:dyDescent="0.35">
      <c r="A475" t="s">
        <v>593</v>
      </c>
      <c r="B475" s="2">
        <v>46304</v>
      </c>
      <c r="C475" s="2"/>
      <c r="D475" t="s">
        <v>117</v>
      </c>
      <c r="E475" t="s">
        <v>139</v>
      </c>
      <c r="F475" t="s">
        <v>70</v>
      </c>
      <c r="G475">
        <v>3</v>
      </c>
      <c r="H475">
        <v>185000</v>
      </c>
      <c r="I475">
        <v>555000</v>
      </c>
      <c r="J475" t="s">
        <v>36</v>
      </c>
      <c r="K475" t="s">
        <v>60</v>
      </c>
    </row>
    <row r="476" spans="1:11" x14ac:dyDescent="0.35">
      <c r="A476" t="s">
        <v>594</v>
      </c>
      <c r="B476" s="2">
        <v>46305</v>
      </c>
      <c r="C476" s="2"/>
      <c r="D476" t="s">
        <v>120</v>
      </c>
      <c r="E476" t="s">
        <v>172</v>
      </c>
      <c r="F476" t="s">
        <v>50</v>
      </c>
      <c r="G476">
        <v>2</v>
      </c>
      <c r="H476">
        <v>120000</v>
      </c>
      <c r="I476">
        <v>240000</v>
      </c>
      <c r="J476" t="s">
        <v>31</v>
      </c>
      <c r="K476" t="s">
        <v>46</v>
      </c>
    </row>
    <row r="477" spans="1:11" x14ac:dyDescent="0.35">
      <c r="A477" t="s">
        <v>595</v>
      </c>
      <c r="B477" s="2">
        <v>46306</v>
      </c>
      <c r="C477" s="2"/>
      <c r="D477" t="s">
        <v>34</v>
      </c>
      <c r="E477" t="s">
        <v>54</v>
      </c>
      <c r="F477" t="s">
        <v>30</v>
      </c>
      <c r="G477">
        <v>4</v>
      </c>
      <c r="H477">
        <v>120000</v>
      </c>
      <c r="I477">
        <v>480000</v>
      </c>
      <c r="J477" t="s">
        <v>31</v>
      </c>
      <c r="K477" t="s">
        <v>84</v>
      </c>
    </row>
    <row r="478" spans="1:11" x14ac:dyDescent="0.35">
      <c r="A478" t="s">
        <v>596</v>
      </c>
      <c r="B478" s="2">
        <v>46307</v>
      </c>
      <c r="C478" s="2"/>
      <c r="D478" t="s">
        <v>39</v>
      </c>
      <c r="E478" t="s">
        <v>115</v>
      </c>
      <c r="F478" t="s">
        <v>95</v>
      </c>
      <c r="G478">
        <v>4</v>
      </c>
      <c r="H478">
        <v>365000</v>
      </c>
      <c r="I478">
        <v>1460000</v>
      </c>
      <c r="J478" t="s">
        <v>31</v>
      </c>
      <c r="K478" t="s">
        <v>60</v>
      </c>
    </row>
    <row r="479" spans="1:11" x14ac:dyDescent="0.35">
      <c r="A479" t="s">
        <v>597</v>
      </c>
      <c r="B479" s="2">
        <v>46308</v>
      </c>
      <c r="C479" s="2"/>
      <c r="D479" t="s">
        <v>62</v>
      </c>
      <c r="E479" t="s">
        <v>40</v>
      </c>
      <c r="F479" t="s">
        <v>50</v>
      </c>
      <c r="G479">
        <v>5</v>
      </c>
      <c r="H479">
        <v>120000</v>
      </c>
      <c r="I479">
        <v>600000</v>
      </c>
      <c r="J479" t="s">
        <v>36</v>
      </c>
      <c r="K479" t="s">
        <v>60</v>
      </c>
    </row>
    <row r="480" spans="1:11" x14ac:dyDescent="0.35">
      <c r="A480" t="s">
        <v>598</v>
      </c>
      <c r="B480" s="2">
        <v>46309</v>
      </c>
      <c r="C480" s="2"/>
      <c r="D480" t="s">
        <v>75</v>
      </c>
      <c r="E480" t="s">
        <v>246</v>
      </c>
      <c r="F480" t="s">
        <v>55</v>
      </c>
      <c r="G480">
        <v>4</v>
      </c>
      <c r="H480">
        <v>28000</v>
      </c>
      <c r="I480">
        <v>112000</v>
      </c>
      <c r="J480" t="s">
        <v>31</v>
      </c>
      <c r="K480" t="s">
        <v>56</v>
      </c>
    </row>
    <row r="481" spans="1:11" x14ac:dyDescent="0.35">
      <c r="A481" t="s">
        <v>599</v>
      </c>
      <c r="B481" s="2">
        <v>46310</v>
      </c>
      <c r="C481" s="2"/>
      <c r="D481" t="s">
        <v>120</v>
      </c>
      <c r="E481" t="s">
        <v>113</v>
      </c>
      <c r="F481" t="s">
        <v>55</v>
      </c>
      <c r="G481">
        <v>2</v>
      </c>
      <c r="H481">
        <v>28000</v>
      </c>
      <c r="I481">
        <v>56000</v>
      </c>
      <c r="J481" t="s">
        <v>31</v>
      </c>
      <c r="K481" t="s">
        <v>56</v>
      </c>
    </row>
    <row r="482" spans="1:11" x14ac:dyDescent="0.35">
      <c r="A482" t="s">
        <v>600</v>
      </c>
      <c r="B482" s="2">
        <v>46311</v>
      </c>
      <c r="C482" s="2"/>
      <c r="D482" t="s">
        <v>94</v>
      </c>
      <c r="E482" t="s">
        <v>100</v>
      </c>
      <c r="F482" t="s">
        <v>70</v>
      </c>
      <c r="G482">
        <v>2</v>
      </c>
      <c r="H482">
        <v>95000</v>
      </c>
      <c r="I482">
        <v>190000</v>
      </c>
      <c r="J482" t="s">
        <v>31</v>
      </c>
      <c r="K482" t="s">
        <v>60</v>
      </c>
    </row>
    <row r="483" spans="1:11" x14ac:dyDescent="0.35">
      <c r="A483" t="s">
        <v>601</v>
      </c>
      <c r="B483" s="2">
        <v>46312</v>
      </c>
      <c r="C483" s="2"/>
      <c r="D483" t="s">
        <v>170</v>
      </c>
      <c r="E483" t="s">
        <v>162</v>
      </c>
      <c r="F483" t="s">
        <v>45</v>
      </c>
      <c r="G483">
        <v>4</v>
      </c>
      <c r="H483">
        <v>68000</v>
      </c>
      <c r="I483">
        <v>272000</v>
      </c>
      <c r="J483" t="s">
        <v>31</v>
      </c>
      <c r="K483" t="s">
        <v>122</v>
      </c>
    </row>
    <row r="484" spans="1:11" x14ac:dyDescent="0.35">
      <c r="A484" t="s">
        <v>602</v>
      </c>
      <c r="B484" s="2">
        <v>46313</v>
      </c>
      <c r="C484" s="2"/>
      <c r="D484" t="s">
        <v>131</v>
      </c>
      <c r="E484" t="s">
        <v>121</v>
      </c>
      <c r="F484" t="s">
        <v>66</v>
      </c>
      <c r="G484">
        <v>2</v>
      </c>
      <c r="H484">
        <v>28000</v>
      </c>
      <c r="I484">
        <v>56000</v>
      </c>
      <c r="J484" t="s">
        <v>31</v>
      </c>
      <c r="K484" t="s">
        <v>56</v>
      </c>
    </row>
    <row r="485" spans="1:11" x14ac:dyDescent="0.35">
      <c r="A485" t="s">
        <v>603</v>
      </c>
      <c r="B485" s="2">
        <v>46314</v>
      </c>
      <c r="C485" s="2"/>
      <c r="D485" t="s">
        <v>138</v>
      </c>
      <c r="E485" t="s">
        <v>158</v>
      </c>
      <c r="F485" t="s">
        <v>45</v>
      </c>
      <c r="G485">
        <v>5</v>
      </c>
      <c r="H485">
        <v>45000</v>
      </c>
      <c r="I485">
        <v>225000</v>
      </c>
      <c r="J485" t="s">
        <v>31</v>
      </c>
      <c r="K485" t="s">
        <v>46</v>
      </c>
    </row>
    <row r="486" spans="1:11" x14ac:dyDescent="0.35">
      <c r="A486" t="s">
        <v>604</v>
      </c>
      <c r="B486" s="2">
        <v>46315</v>
      </c>
      <c r="C486" s="2"/>
      <c r="D486" t="s">
        <v>97</v>
      </c>
      <c r="E486" t="s">
        <v>153</v>
      </c>
      <c r="F486" t="s">
        <v>41</v>
      </c>
      <c r="G486">
        <v>1</v>
      </c>
      <c r="H486">
        <v>185000</v>
      </c>
      <c r="I486">
        <v>185000</v>
      </c>
      <c r="J486" t="s">
        <v>36</v>
      </c>
      <c r="K486" t="s">
        <v>84</v>
      </c>
    </row>
    <row r="487" spans="1:11" x14ac:dyDescent="0.35">
      <c r="A487" t="s">
        <v>605</v>
      </c>
      <c r="B487" s="2">
        <v>46316</v>
      </c>
      <c r="C487" s="2"/>
      <c r="D487" t="s">
        <v>68</v>
      </c>
      <c r="E487" t="s">
        <v>100</v>
      </c>
      <c r="F487" t="s">
        <v>45</v>
      </c>
      <c r="G487">
        <v>5</v>
      </c>
      <c r="H487">
        <v>280000</v>
      </c>
      <c r="I487">
        <v>1400000</v>
      </c>
      <c r="J487" t="s">
        <v>31</v>
      </c>
      <c r="K487" t="s">
        <v>46</v>
      </c>
    </row>
    <row r="488" spans="1:11" x14ac:dyDescent="0.35">
      <c r="A488" t="s">
        <v>606</v>
      </c>
      <c r="B488" s="2">
        <v>46317</v>
      </c>
      <c r="C488" s="2"/>
      <c r="D488" t="s">
        <v>94</v>
      </c>
      <c r="E488" t="s">
        <v>58</v>
      </c>
      <c r="F488" t="s">
        <v>41</v>
      </c>
      <c r="G488">
        <v>5</v>
      </c>
      <c r="H488">
        <v>120000</v>
      </c>
      <c r="I488">
        <v>600000</v>
      </c>
      <c r="J488" t="s">
        <v>51</v>
      </c>
      <c r="K488" t="s">
        <v>122</v>
      </c>
    </row>
    <row r="489" spans="1:11" x14ac:dyDescent="0.35">
      <c r="A489" t="s">
        <v>607</v>
      </c>
      <c r="B489" s="2">
        <v>46318</v>
      </c>
      <c r="C489" s="2"/>
      <c r="D489" t="s">
        <v>53</v>
      </c>
      <c r="E489" t="s">
        <v>206</v>
      </c>
      <c r="F489" t="s">
        <v>41</v>
      </c>
      <c r="G489">
        <v>2</v>
      </c>
      <c r="H489">
        <v>95000</v>
      </c>
      <c r="I489">
        <v>190000</v>
      </c>
      <c r="J489" t="s">
        <v>31</v>
      </c>
      <c r="K489" t="s">
        <v>32</v>
      </c>
    </row>
    <row r="490" spans="1:11" x14ac:dyDescent="0.35">
      <c r="A490" t="s">
        <v>608</v>
      </c>
      <c r="B490" s="2">
        <v>46319</v>
      </c>
      <c r="C490" s="2"/>
      <c r="D490" t="s">
        <v>177</v>
      </c>
      <c r="E490" t="s">
        <v>110</v>
      </c>
      <c r="F490" t="s">
        <v>95</v>
      </c>
      <c r="G490">
        <v>1</v>
      </c>
      <c r="H490">
        <v>18000</v>
      </c>
      <c r="I490">
        <v>18000</v>
      </c>
      <c r="J490" t="s">
        <v>31</v>
      </c>
      <c r="K490" t="s">
        <v>146</v>
      </c>
    </row>
    <row r="491" spans="1:11" x14ac:dyDescent="0.35">
      <c r="A491" t="s">
        <v>609</v>
      </c>
      <c r="B491" s="2">
        <v>46320</v>
      </c>
      <c r="C491" s="2"/>
      <c r="D491" t="s">
        <v>82</v>
      </c>
      <c r="E491" t="s">
        <v>100</v>
      </c>
      <c r="F491" t="s">
        <v>30</v>
      </c>
      <c r="G491">
        <v>2</v>
      </c>
      <c r="H491">
        <v>280000</v>
      </c>
      <c r="I491">
        <v>560000</v>
      </c>
      <c r="J491" t="s">
        <v>36</v>
      </c>
      <c r="K491" t="s">
        <v>84</v>
      </c>
    </row>
    <row r="492" spans="1:11" x14ac:dyDescent="0.35">
      <c r="A492" t="s">
        <v>610</v>
      </c>
      <c r="B492" s="2">
        <v>46321</v>
      </c>
      <c r="C492" s="2"/>
      <c r="D492" t="s">
        <v>170</v>
      </c>
      <c r="E492" t="s">
        <v>69</v>
      </c>
      <c r="F492" t="s">
        <v>95</v>
      </c>
      <c r="G492">
        <v>3</v>
      </c>
      <c r="H492">
        <v>45000</v>
      </c>
      <c r="I492">
        <v>135000</v>
      </c>
      <c r="J492" t="s">
        <v>36</v>
      </c>
      <c r="K492" t="s">
        <v>56</v>
      </c>
    </row>
    <row r="493" spans="1:11" x14ac:dyDescent="0.35">
      <c r="A493" t="s">
        <v>611</v>
      </c>
      <c r="B493" s="2">
        <v>46322</v>
      </c>
      <c r="C493" s="2"/>
      <c r="D493" t="s">
        <v>43</v>
      </c>
      <c r="E493" t="s">
        <v>139</v>
      </c>
      <c r="F493" t="s">
        <v>41</v>
      </c>
      <c r="G493">
        <v>2</v>
      </c>
      <c r="H493">
        <v>120000</v>
      </c>
      <c r="I493">
        <v>240000</v>
      </c>
      <c r="J493" t="s">
        <v>51</v>
      </c>
      <c r="K493" t="s">
        <v>84</v>
      </c>
    </row>
    <row r="494" spans="1:11" x14ac:dyDescent="0.35">
      <c r="A494" t="s">
        <v>612</v>
      </c>
      <c r="B494" s="2">
        <v>46323</v>
      </c>
      <c r="C494" s="2"/>
      <c r="D494" t="s">
        <v>97</v>
      </c>
      <c r="E494" t="s">
        <v>69</v>
      </c>
      <c r="F494" t="s">
        <v>50</v>
      </c>
      <c r="G494">
        <v>2</v>
      </c>
      <c r="H494">
        <v>45000</v>
      </c>
      <c r="I494">
        <v>90000</v>
      </c>
      <c r="J494" t="s">
        <v>51</v>
      </c>
      <c r="K494" t="s">
        <v>46</v>
      </c>
    </row>
    <row r="495" spans="1:11" x14ac:dyDescent="0.35">
      <c r="A495" t="s">
        <v>613</v>
      </c>
      <c r="B495" s="2">
        <v>46324</v>
      </c>
      <c r="C495" s="2"/>
      <c r="D495" t="s">
        <v>75</v>
      </c>
      <c r="E495" t="s">
        <v>65</v>
      </c>
      <c r="F495" t="s">
        <v>55</v>
      </c>
      <c r="G495">
        <v>2</v>
      </c>
      <c r="H495">
        <v>185000</v>
      </c>
      <c r="I495">
        <v>370000</v>
      </c>
      <c r="J495" t="s">
        <v>36</v>
      </c>
      <c r="K495" t="s">
        <v>146</v>
      </c>
    </row>
    <row r="496" spans="1:11" x14ac:dyDescent="0.35">
      <c r="A496" t="s">
        <v>614</v>
      </c>
      <c r="B496" s="2">
        <v>46325</v>
      </c>
      <c r="C496" s="2"/>
      <c r="D496" t="s">
        <v>102</v>
      </c>
      <c r="E496" t="s">
        <v>216</v>
      </c>
      <c r="F496" t="s">
        <v>41</v>
      </c>
      <c r="G496">
        <v>1</v>
      </c>
      <c r="H496">
        <v>185000</v>
      </c>
      <c r="I496">
        <v>185000</v>
      </c>
      <c r="J496" t="s">
        <v>36</v>
      </c>
      <c r="K496" t="s">
        <v>37</v>
      </c>
    </row>
    <row r="497" spans="1:11" x14ac:dyDescent="0.35">
      <c r="A497" t="s">
        <v>615</v>
      </c>
      <c r="B497" s="2">
        <v>46326</v>
      </c>
      <c r="C497" s="2"/>
      <c r="D497" t="s">
        <v>135</v>
      </c>
      <c r="E497" t="s">
        <v>125</v>
      </c>
      <c r="F497" t="s">
        <v>95</v>
      </c>
      <c r="G497">
        <v>2</v>
      </c>
      <c r="H497">
        <v>365000</v>
      </c>
      <c r="I497">
        <v>730000</v>
      </c>
      <c r="J497" t="s">
        <v>31</v>
      </c>
      <c r="K497" t="s">
        <v>37</v>
      </c>
    </row>
    <row r="498" spans="1:11" x14ac:dyDescent="0.35">
      <c r="A498" t="s">
        <v>616</v>
      </c>
      <c r="B498" s="2">
        <v>46327</v>
      </c>
      <c r="C498" s="2"/>
      <c r="D498" t="s">
        <v>138</v>
      </c>
      <c r="E498" t="s">
        <v>92</v>
      </c>
      <c r="F498" t="s">
        <v>50</v>
      </c>
      <c r="G498">
        <v>1</v>
      </c>
      <c r="H498">
        <v>95000</v>
      </c>
      <c r="I498">
        <v>95000</v>
      </c>
      <c r="J498" t="s">
        <v>36</v>
      </c>
      <c r="K498" t="s">
        <v>56</v>
      </c>
    </row>
    <row r="499" spans="1:11" x14ac:dyDescent="0.35">
      <c r="A499" t="s">
        <v>617</v>
      </c>
      <c r="B499" s="2">
        <v>46328</v>
      </c>
      <c r="C499" s="2"/>
      <c r="D499" t="s">
        <v>102</v>
      </c>
      <c r="E499" t="s">
        <v>100</v>
      </c>
      <c r="F499" t="s">
        <v>95</v>
      </c>
      <c r="G499">
        <v>4</v>
      </c>
      <c r="H499">
        <v>280000</v>
      </c>
      <c r="I499">
        <v>1120000</v>
      </c>
      <c r="J499" t="s">
        <v>51</v>
      </c>
      <c r="K499" t="s">
        <v>122</v>
      </c>
    </row>
    <row r="500" spans="1:11" x14ac:dyDescent="0.35">
      <c r="A500" t="s">
        <v>618</v>
      </c>
      <c r="B500" s="2">
        <v>46329</v>
      </c>
      <c r="C500" s="2"/>
      <c r="D500" t="s">
        <v>68</v>
      </c>
      <c r="E500" t="s">
        <v>175</v>
      </c>
      <c r="F500" t="s">
        <v>45</v>
      </c>
      <c r="G500">
        <v>3</v>
      </c>
      <c r="H500">
        <v>540000</v>
      </c>
      <c r="I500">
        <v>1620000</v>
      </c>
      <c r="J500" t="s">
        <v>31</v>
      </c>
      <c r="K500" t="s">
        <v>37</v>
      </c>
    </row>
    <row r="501" spans="1:11" x14ac:dyDescent="0.35">
      <c r="A501" t="s">
        <v>619</v>
      </c>
      <c r="B501" s="2">
        <v>46330</v>
      </c>
      <c r="C501" s="2"/>
      <c r="D501" t="s">
        <v>133</v>
      </c>
      <c r="E501" t="s">
        <v>115</v>
      </c>
      <c r="F501" t="s">
        <v>35</v>
      </c>
      <c r="G501">
        <v>1</v>
      </c>
      <c r="H501">
        <v>540000</v>
      </c>
      <c r="I501">
        <v>540000</v>
      </c>
      <c r="J501" t="s">
        <v>51</v>
      </c>
      <c r="K501" t="s">
        <v>84</v>
      </c>
    </row>
    <row r="502" spans="1:11" x14ac:dyDescent="0.35">
      <c r="A502" t="s">
        <v>620</v>
      </c>
      <c r="B502" s="2">
        <v>46331</v>
      </c>
      <c r="C502" s="2"/>
      <c r="D502" t="s">
        <v>53</v>
      </c>
      <c r="E502" t="s">
        <v>239</v>
      </c>
      <c r="F502" t="s">
        <v>70</v>
      </c>
      <c r="G502">
        <v>4</v>
      </c>
      <c r="H502">
        <v>280000</v>
      </c>
      <c r="I502">
        <v>1120000</v>
      </c>
      <c r="J502" t="s">
        <v>31</v>
      </c>
      <c r="K502" t="s">
        <v>37</v>
      </c>
    </row>
    <row r="503" spans="1:11" x14ac:dyDescent="0.35">
      <c r="A503" t="s">
        <v>621</v>
      </c>
      <c r="B503" s="2">
        <v>46332</v>
      </c>
      <c r="C503" s="2"/>
      <c r="D503" t="s">
        <v>120</v>
      </c>
      <c r="E503" t="s">
        <v>158</v>
      </c>
      <c r="F503" t="s">
        <v>66</v>
      </c>
      <c r="G503">
        <v>1</v>
      </c>
      <c r="H503">
        <v>18000</v>
      </c>
      <c r="I503">
        <v>18000</v>
      </c>
      <c r="J503" t="s">
        <v>36</v>
      </c>
      <c r="K503" t="s">
        <v>32</v>
      </c>
    </row>
    <row r="504" spans="1:11" x14ac:dyDescent="0.35">
      <c r="A504" t="s">
        <v>622</v>
      </c>
      <c r="B504" s="2">
        <v>46333</v>
      </c>
      <c r="C504" s="2"/>
      <c r="D504" t="s">
        <v>167</v>
      </c>
      <c r="E504" t="s">
        <v>73</v>
      </c>
      <c r="F504" t="s">
        <v>95</v>
      </c>
      <c r="G504">
        <v>1</v>
      </c>
      <c r="H504">
        <v>95000</v>
      </c>
      <c r="I504">
        <v>95000</v>
      </c>
      <c r="J504" t="s">
        <v>51</v>
      </c>
      <c r="K504" t="s">
        <v>32</v>
      </c>
    </row>
    <row r="505" spans="1:11" x14ac:dyDescent="0.35">
      <c r="A505" t="s">
        <v>623</v>
      </c>
      <c r="B505" s="2">
        <v>46334</v>
      </c>
      <c r="C505" s="2"/>
      <c r="D505" t="s">
        <v>48</v>
      </c>
      <c r="E505" t="s">
        <v>410</v>
      </c>
      <c r="F505" t="s">
        <v>66</v>
      </c>
      <c r="G505">
        <v>3</v>
      </c>
      <c r="H505">
        <v>45000</v>
      </c>
      <c r="I505">
        <v>135000</v>
      </c>
      <c r="J505" t="s">
        <v>31</v>
      </c>
      <c r="K505" t="s">
        <v>56</v>
      </c>
    </row>
    <row r="506" spans="1:11" x14ac:dyDescent="0.35">
      <c r="A506" t="s">
        <v>624</v>
      </c>
      <c r="B506" s="2">
        <v>46335</v>
      </c>
      <c r="C506" s="2"/>
      <c r="D506" t="s">
        <v>97</v>
      </c>
      <c r="E506" t="s">
        <v>69</v>
      </c>
      <c r="F506" t="s">
        <v>59</v>
      </c>
      <c r="G506">
        <v>5</v>
      </c>
      <c r="H506">
        <v>18000</v>
      </c>
      <c r="I506">
        <v>90000</v>
      </c>
      <c r="J506" t="s">
        <v>31</v>
      </c>
      <c r="K506" t="s">
        <v>32</v>
      </c>
    </row>
    <row r="507" spans="1:11" x14ac:dyDescent="0.35">
      <c r="A507" t="s">
        <v>625</v>
      </c>
      <c r="B507" s="2">
        <v>46336</v>
      </c>
      <c r="C507" s="2"/>
      <c r="D507" t="s">
        <v>145</v>
      </c>
      <c r="E507" t="s">
        <v>139</v>
      </c>
      <c r="F507" t="s">
        <v>95</v>
      </c>
      <c r="G507">
        <v>5</v>
      </c>
      <c r="H507">
        <v>68000</v>
      </c>
      <c r="I507">
        <v>340000</v>
      </c>
      <c r="J507" t="s">
        <v>36</v>
      </c>
      <c r="K507" t="s">
        <v>37</v>
      </c>
    </row>
    <row r="508" spans="1:11" x14ac:dyDescent="0.35">
      <c r="A508" t="s">
        <v>626</v>
      </c>
      <c r="B508" s="2">
        <v>46337</v>
      </c>
      <c r="C508" s="2"/>
      <c r="D508" t="s">
        <v>28</v>
      </c>
      <c r="E508" t="s">
        <v>153</v>
      </c>
      <c r="F508" t="s">
        <v>35</v>
      </c>
      <c r="G508">
        <v>1</v>
      </c>
      <c r="H508">
        <v>280000</v>
      </c>
      <c r="I508">
        <v>280000</v>
      </c>
      <c r="J508" t="s">
        <v>36</v>
      </c>
      <c r="K508" t="s">
        <v>122</v>
      </c>
    </row>
    <row r="509" spans="1:11" x14ac:dyDescent="0.35">
      <c r="A509" t="s">
        <v>627</v>
      </c>
      <c r="B509" s="2">
        <v>46338</v>
      </c>
      <c r="C509" s="2"/>
      <c r="D509" t="s">
        <v>39</v>
      </c>
      <c r="E509" t="s">
        <v>100</v>
      </c>
      <c r="F509" t="s">
        <v>66</v>
      </c>
      <c r="G509">
        <v>2</v>
      </c>
      <c r="H509">
        <v>45000</v>
      </c>
      <c r="I509">
        <v>90000</v>
      </c>
      <c r="J509" t="s">
        <v>36</v>
      </c>
      <c r="K509" t="s">
        <v>60</v>
      </c>
    </row>
    <row r="510" spans="1:11" x14ac:dyDescent="0.35">
      <c r="A510" t="s">
        <v>628</v>
      </c>
      <c r="B510" s="2">
        <v>46339</v>
      </c>
      <c r="C510" s="2"/>
      <c r="D510" t="s">
        <v>138</v>
      </c>
      <c r="E510" t="s">
        <v>98</v>
      </c>
      <c r="F510" t="s">
        <v>41</v>
      </c>
      <c r="G510">
        <v>4</v>
      </c>
      <c r="H510">
        <v>540000</v>
      </c>
      <c r="I510">
        <v>2160000</v>
      </c>
      <c r="J510" t="s">
        <v>51</v>
      </c>
      <c r="K510" t="s">
        <v>60</v>
      </c>
    </row>
    <row r="511" spans="1:11" x14ac:dyDescent="0.35">
      <c r="A511" t="s">
        <v>629</v>
      </c>
      <c r="B511" s="2">
        <v>46340</v>
      </c>
      <c r="C511" s="2"/>
      <c r="D511" t="s">
        <v>75</v>
      </c>
      <c r="E511" t="s">
        <v>107</v>
      </c>
      <c r="F511" t="s">
        <v>95</v>
      </c>
      <c r="G511">
        <v>2</v>
      </c>
      <c r="H511">
        <v>28000</v>
      </c>
      <c r="I511">
        <v>56000</v>
      </c>
      <c r="J511" t="s">
        <v>31</v>
      </c>
      <c r="K511" t="s">
        <v>56</v>
      </c>
    </row>
    <row r="512" spans="1:11" x14ac:dyDescent="0.35">
      <c r="A512" t="s">
        <v>630</v>
      </c>
      <c r="B512" s="2">
        <v>46341</v>
      </c>
      <c r="C512" s="2"/>
      <c r="D512" t="s">
        <v>68</v>
      </c>
      <c r="E512" t="s">
        <v>153</v>
      </c>
      <c r="F512" t="s">
        <v>30</v>
      </c>
      <c r="G512">
        <v>2</v>
      </c>
      <c r="H512">
        <v>365000</v>
      </c>
      <c r="I512">
        <v>730000</v>
      </c>
      <c r="J512" t="s">
        <v>36</v>
      </c>
      <c r="K512" t="s">
        <v>146</v>
      </c>
    </row>
    <row r="513" spans="1:11" x14ac:dyDescent="0.35">
      <c r="A513" t="s">
        <v>631</v>
      </c>
      <c r="B513" s="2">
        <v>46342</v>
      </c>
      <c r="C513" s="2"/>
      <c r="D513" t="s">
        <v>94</v>
      </c>
      <c r="E513" t="s">
        <v>198</v>
      </c>
      <c r="F513" t="s">
        <v>70</v>
      </c>
      <c r="G513">
        <v>1</v>
      </c>
      <c r="H513">
        <v>540000</v>
      </c>
      <c r="I513">
        <v>540000</v>
      </c>
      <c r="J513" t="s">
        <v>51</v>
      </c>
      <c r="K513" t="s">
        <v>60</v>
      </c>
    </row>
    <row r="514" spans="1:11" x14ac:dyDescent="0.35">
      <c r="A514" t="s">
        <v>632</v>
      </c>
      <c r="B514" s="2">
        <v>46343</v>
      </c>
      <c r="C514" s="2"/>
      <c r="D514" t="s">
        <v>170</v>
      </c>
      <c r="E514" t="s">
        <v>201</v>
      </c>
      <c r="F514" t="s">
        <v>35</v>
      </c>
      <c r="G514">
        <v>1</v>
      </c>
      <c r="H514">
        <v>95000</v>
      </c>
      <c r="I514">
        <v>95000</v>
      </c>
      <c r="J514" t="s">
        <v>51</v>
      </c>
      <c r="K514" t="s">
        <v>60</v>
      </c>
    </row>
    <row r="515" spans="1:11" x14ac:dyDescent="0.35">
      <c r="A515" t="s">
        <v>633</v>
      </c>
      <c r="B515" s="2">
        <v>46344</v>
      </c>
      <c r="C515" s="2"/>
      <c r="D515" t="s">
        <v>131</v>
      </c>
      <c r="E515" t="s">
        <v>58</v>
      </c>
      <c r="F515" t="s">
        <v>66</v>
      </c>
      <c r="G515">
        <v>1</v>
      </c>
      <c r="H515">
        <v>185000</v>
      </c>
      <c r="I515">
        <v>185000</v>
      </c>
      <c r="J515" t="s">
        <v>51</v>
      </c>
      <c r="K515" t="s">
        <v>32</v>
      </c>
    </row>
    <row r="516" spans="1:11" x14ac:dyDescent="0.35">
      <c r="A516" t="s">
        <v>634</v>
      </c>
      <c r="B516" s="2">
        <v>46345</v>
      </c>
      <c r="C516" s="2"/>
      <c r="D516" t="s">
        <v>82</v>
      </c>
      <c r="E516" t="s">
        <v>100</v>
      </c>
      <c r="F516" t="s">
        <v>35</v>
      </c>
      <c r="G516">
        <v>1</v>
      </c>
      <c r="H516">
        <v>28000</v>
      </c>
      <c r="I516">
        <v>28000</v>
      </c>
      <c r="J516" t="s">
        <v>36</v>
      </c>
      <c r="K516" t="s">
        <v>32</v>
      </c>
    </row>
    <row r="517" spans="1:11" x14ac:dyDescent="0.35">
      <c r="A517" t="s">
        <v>635</v>
      </c>
      <c r="B517" s="2">
        <v>46346</v>
      </c>
      <c r="C517" s="2"/>
      <c r="D517" t="s">
        <v>236</v>
      </c>
      <c r="E517" t="s">
        <v>153</v>
      </c>
      <c r="F517" t="s">
        <v>50</v>
      </c>
      <c r="G517">
        <v>5</v>
      </c>
      <c r="H517">
        <v>365000</v>
      </c>
      <c r="I517">
        <v>1825000</v>
      </c>
      <c r="J517" t="s">
        <v>36</v>
      </c>
      <c r="K517" t="s">
        <v>37</v>
      </c>
    </row>
    <row r="518" spans="1:11" x14ac:dyDescent="0.35">
      <c r="A518" t="s">
        <v>636</v>
      </c>
      <c r="B518" s="2">
        <v>46347</v>
      </c>
      <c r="C518" s="2"/>
      <c r="D518" t="s">
        <v>117</v>
      </c>
      <c r="E518" t="s">
        <v>248</v>
      </c>
      <c r="F518" t="s">
        <v>70</v>
      </c>
      <c r="G518">
        <v>1</v>
      </c>
      <c r="H518">
        <v>365000</v>
      </c>
      <c r="I518">
        <v>365000</v>
      </c>
      <c r="J518" t="s">
        <v>31</v>
      </c>
      <c r="K518" t="s">
        <v>56</v>
      </c>
    </row>
    <row r="519" spans="1:11" x14ac:dyDescent="0.35">
      <c r="A519" t="s">
        <v>637</v>
      </c>
      <c r="B519" s="2">
        <v>46348</v>
      </c>
      <c r="C519" s="2"/>
      <c r="D519" t="s">
        <v>68</v>
      </c>
      <c r="E519" t="s">
        <v>143</v>
      </c>
      <c r="F519" t="s">
        <v>41</v>
      </c>
      <c r="G519">
        <v>5</v>
      </c>
      <c r="H519">
        <v>68000</v>
      </c>
      <c r="I519">
        <v>340000</v>
      </c>
      <c r="J519" t="s">
        <v>31</v>
      </c>
      <c r="K519" t="s">
        <v>146</v>
      </c>
    </row>
    <row r="520" spans="1:11" x14ac:dyDescent="0.35">
      <c r="A520" t="s">
        <v>638</v>
      </c>
      <c r="B520" s="2">
        <v>46349</v>
      </c>
      <c r="C520" s="2"/>
      <c r="D520" t="s">
        <v>28</v>
      </c>
      <c r="E520" t="s">
        <v>69</v>
      </c>
      <c r="F520" t="s">
        <v>95</v>
      </c>
      <c r="G520">
        <v>5</v>
      </c>
      <c r="H520">
        <v>68000</v>
      </c>
      <c r="I520">
        <v>340000</v>
      </c>
      <c r="J520" t="s">
        <v>36</v>
      </c>
      <c r="K520" t="s">
        <v>56</v>
      </c>
    </row>
    <row r="521" spans="1:11" x14ac:dyDescent="0.35">
      <c r="A521" t="s">
        <v>639</v>
      </c>
      <c r="B521" s="2">
        <v>46350</v>
      </c>
      <c r="C521" s="2"/>
      <c r="D521" t="s">
        <v>131</v>
      </c>
      <c r="E521" t="s">
        <v>107</v>
      </c>
      <c r="F521" t="s">
        <v>95</v>
      </c>
      <c r="G521">
        <v>1</v>
      </c>
      <c r="H521">
        <v>120000</v>
      </c>
      <c r="I521">
        <v>120000</v>
      </c>
      <c r="J521" t="s">
        <v>51</v>
      </c>
      <c r="K521" t="s">
        <v>46</v>
      </c>
    </row>
    <row r="522" spans="1:11" x14ac:dyDescent="0.35">
      <c r="A522" t="s">
        <v>640</v>
      </c>
      <c r="B522" s="2">
        <v>46351</v>
      </c>
      <c r="C522" s="2"/>
      <c r="D522" t="s">
        <v>88</v>
      </c>
      <c r="E522" t="s">
        <v>162</v>
      </c>
      <c r="F522" t="s">
        <v>95</v>
      </c>
      <c r="G522">
        <v>3</v>
      </c>
      <c r="H522">
        <v>540000</v>
      </c>
      <c r="I522">
        <v>1620000</v>
      </c>
      <c r="J522" t="s">
        <v>51</v>
      </c>
      <c r="K522" t="s">
        <v>84</v>
      </c>
    </row>
    <row r="523" spans="1:11" x14ac:dyDescent="0.35">
      <c r="A523" t="s">
        <v>641</v>
      </c>
      <c r="B523" s="2">
        <v>46352</v>
      </c>
      <c r="C523" s="2"/>
      <c r="D523" t="s">
        <v>236</v>
      </c>
      <c r="E523" t="s">
        <v>216</v>
      </c>
      <c r="F523" t="s">
        <v>70</v>
      </c>
      <c r="G523">
        <v>4</v>
      </c>
      <c r="H523">
        <v>540000</v>
      </c>
      <c r="I523">
        <v>2160000</v>
      </c>
      <c r="J523" t="s">
        <v>51</v>
      </c>
      <c r="K523" t="s">
        <v>146</v>
      </c>
    </row>
    <row r="524" spans="1:11" x14ac:dyDescent="0.35">
      <c r="A524" t="s">
        <v>642</v>
      </c>
      <c r="B524" s="2">
        <v>46353</v>
      </c>
      <c r="C524" s="2"/>
      <c r="D524" t="s">
        <v>34</v>
      </c>
      <c r="E524" t="s">
        <v>69</v>
      </c>
      <c r="F524" t="s">
        <v>30</v>
      </c>
      <c r="G524">
        <v>2</v>
      </c>
      <c r="H524">
        <v>540000</v>
      </c>
      <c r="I524">
        <v>1080000</v>
      </c>
      <c r="J524" t="s">
        <v>31</v>
      </c>
      <c r="K524" t="s">
        <v>146</v>
      </c>
    </row>
    <row r="525" spans="1:11" x14ac:dyDescent="0.35">
      <c r="A525" t="s">
        <v>643</v>
      </c>
      <c r="B525" s="2">
        <v>46354</v>
      </c>
      <c r="C525" s="2"/>
      <c r="D525" t="s">
        <v>120</v>
      </c>
      <c r="E525" t="s">
        <v>58</v>
      </c>
      <c r="F525" t="s">
        <v>59</v>
      </c>
      <c r="G525">
        <v>5</v>
      </c>
      <c r="H525">
        <v>120000</v>
      </c>
      <c r="I525">
        <v>600000</v>
      </c>
      <c r="J525" t="s">
        <v>51</v>
      </c>
      <c r="K525" t="s">
        <v>122</v>
      </c>
    </row>
    <row r="526" spans="1:11" x14ac:dyDescent="0.35">
      <c r="A526" t="s">
        <v>644</v>
      </c>
      <c r="B526" s="2">
        <v>46355</v>
      </c>
      <c r="C526" s="2"/>
      <c r="D526" t="s">
        <v>53</v>
      </c>
      <c r="E526" t="s">
        <v>269</v>
      </c>
      <c r="F526" t="s">
        <v>55</v>
      </c>
      <c r="G526">
        <v>4</v>
      </c>
      <c r="H526">
        <v>18000</v>
      </c>
      <c r="I526">
        <v>72000</v>
      </c>
      <c r="J526" t="s">
        <v>31</v>
      </c>
      <c r="K526" t="s">
        <v>56</v>
      </c>
    </row>
    <row r="527" spans="1:11" x14ac:dyDescent="0.35">
      <c r="A527" t="s">
        <v>645</v>
      </c>
      <c r="B527" s="2">
        <v>46356</v>
      </c>
      <c r="C527" s="2"/>
      <c r="D527" t="s">
        <v>177</v>
      </c>
      <c r="E527" t="s">
        <v>335</v>
      </c>
      <c r="F527" t="s">
        <v>45</v>
      </c>
      <c r="G527">
        <v>3</v>
      </c>
      <c r="H527">
        <v>365000</v>
      </c>
      <c r="I527">
        <v>1095000</v>
      </c>
      <c r="J527" t="s">
        <v>31</v>
      </c>
      <c r="K527" t="s">
        <v>37</v>
      </c>
    </row>
    <row r="528" spans="1:11" x14ac:dyDescent="0.35">
      <c r="A528" t="s">
        <v>646</v>
      </c>
      <c r="B528" s="2">
        <v>46357</v>
      </c>
      <c r="C528" s="2"/>
      <c r="D528" t="s">
        <v>145</v>
      </c>
      <c r="E528" t="s">
        <v>73</v>
      </c>
      <c r="F528" t="s">
        <v>66</v>
      </c>
      <c r="G528">
        <v>2</v>
      </c>
      <c r="H528">
        <v>28000</v>
      </c>
      <c r="I528">
        <v>56000</v>
      </c>
      <c r="J528" t="s">
        <v>51</v>
      </c>
      <c r="K528" t="s">
        <v>122</v>
      </c>
    </row>
    <row r="529" spans="1:11" x14ac:dyDescent="0.35">
      <c r="A529" t="s">
        <v>647</v>
      </c>
      <c r="B529" s="2">
        <v>46358</v>
      </c>
      <c r="C529" s="2"/>
      <c r="D529" t="s">
        <v>177</v>
      </c>
      <c r="E529" t="s">
        <v>410</v>
      </c>
      <c r="F529" t="s">
        <v>30</v>
      </c>
      <c r="G529">
        <v>2</v>
      </c>
      <c r="H529">
        <v>95000</v>
      </c>
      <c r="I529">
        <v>190000</v>
      </c>
      <c r="J529" t="s">
        <v>51</v>
      </c>
      <c r="K529" t="s">
        <v>146</v>
      </c>
    </row>
    <row r="530" spans="1:11" x14ac:dyDescent="0.35">
      <c r="A530" t="s">
        <v>648</v>
      </c>
      <c r="B530" s="2">
        <v>46359</v>
      </c>
      <c r="C530" s="2"/>
      <c r="D530" t="s">
        <v>106</v>
      </c>
      <c r="E530" t="s">
        <v>127</v>
      </c>
      <c r="F530" t="s">
        <v>41</v>
      </c>
      <c r="G530">
        <v>5</v>
      </c>
      <c r="H530">
        <v>365000</v>
      </c>
      <c r="I530">
        <v>1825000</v>
      </c>
      <c r="J530" t="s">
        <v>36</v>
      </c>
      <c r="K530" t="s">
        <v>146</v>
      </c>
    </row>
    <row r="531" spans="1:11" x14ac:dyDescent="0.35">
      <c r="A531" t="s">
        <v>649</v>
      </c>
      <c r="B531" s="2">
        <v>46360</v>
      </c>
      <c r="C531" s="2"/>
      <c r="D531" t="s">
        <v>72</v>
      </c>
      <c r="E531" t="s">
        <v>103</v>
      </c>
      <c r="F531" t="s">
        <v>66</v>
      </c>
      <c r="G531">
        <v>1</v>
      </c>
      <c r="H531">
        <v>68000</v>
      </c>
      <c r="I531">
        <v>68000</v>
      </c>
      <c r="J531" t="s">
        <v>36</v>
      </c>
      <c r="K531" t="s">
        <v>146</v>
      </c>
    </row>
    <row r="532" spans="1:11" x14ac:dyDescent="0.35">
      <c r="A532" t="s">
        <v>650</v>
      </c>
      <c r="B532" s="2">
        <v>46361</v>
      </c>
      <c r="C532" s="2"/>
      <c r="D532" t="s">
        <v>75</v>
      </c>
      <c r="E532" t="s">
        <v>98</v>
      </c>
      <c r="F532" t="s">
        <v>95</v>
      </c>
      <c r="G532">
        <v>3</v>
      </c>
      <c r="H532">
        <v>45000</v>
      </c>
      <c r="I532">
        <v>135000</v>
      </c>
      <c r="J532" t="s">
        <v>51</v>
      </c>
      <c r="K532" t="s">
        <v>60</v>
      </c>
    </row>
    <row r="533" spans="1:11" x14ac:dyDescent="0.35">
      <c r="A533" t="s">
        <v>651</v>
      </c>
      <c r="B533" s="2">
        <v>46362</v>
      </c>
      <c r="C533" s="2"/>
      <c r="D533" t="s">
        <v>43</v>
      </c>
      <c r="E533" t="s">
        <v>183</v>
      </c>
      <c r="F533" t="s">
        <v>35</v>
      </c>
      <c r="G533">
        <v>5</v>
      </c>
      <c r="H533">
        <v>185000</v>
      </c>
      <c r="I533">
        <v>925000</v>
      </c>
      <c r="J533" t="s">
        <v>31</v>
      </c>
      <c r="K533" t="s">
        <v>56</v>
      </c>
    </row>
    <row r="534" spans="1:11" x14ac:dyDescent="0.35">
      <c r="A534" t="s">
        <v>652</v>
      </c>
      <c r="B534" s="2">
        <v>46363</v>
      </c>
      <c r="C534" s="2"/>
      <c r="D534" t="s">
        <v>117</v>
      </c>
      <c r="E534" t="s">
        <v>44</v>
      </c>
      <c r="F534" t="s">
        <v>41</v>
      </c>
      <c r="G534">
        <v>3</v>
      </c>
      <c r="H534">
        <v>120000</v>
      </c>
      <c r="I534">
        <v>360000</v>
      </c>
      <c r="J534" t="s">
        <v>31</v>
      </c>
      <c r="K534" t="s">
        <v>84</v>
      </c>
    </row>
    <row r="535" spans="1:11" x14ac:dyDescent="0.35">
      <c r="A535" t="s">
        <v>653</v>
      </c>
      <c r="B535" s="2">
        <v>46364</v>
      </c>
      <c r="C535" s="2"/>
      <c r="D535" t="s">
        <v>102</v>
      </c>
      <c r="E535" t="s">
        <v>92</v>
      </c>
      <c r="F535" t="s">
        <v>66</v>
      </c>
      <c r="G535">
        <v>1</v>
      </c>
      <c r="H535">
        <v>280000</v>
      </c>
      <c r="I535">
        <v>280000</v>
      </c>
      <c r="J535" t="s">
        <v>31</v>
      </c>
      <c r="K535" t="s">
        <v>84</v>
      </c>
    </row>
    <row r="536" spans="1:11" x14ac:dyDescent="0.35">
      <c r="A536" t="s">
        <v>654</v>
      </c>
      <c r="B536" s="2">
        <v>46365</v>
      </c>
      <c r="C536" s="2"/>
      <c r="D536" t="s">
        <v>102</v>
      </c>
      <c r="E536" t="s">
        <v>44</v>
      </c>
      <c r="F536" t="s">
        <v>95</v>
      </c>
      <c r="G536">
        <v>1</v>
      </c>
      <c r="H536">
        <v>45000</v>
      </c>
      <c r="I536">
        <v>45000</v>
      </c>
      <c r="J536" t="s">
        <v>31</v>
      </c>
      <c r="K536" t="s">
        <v>122</v>
      </c>
    </row>
    <row r="537" spans="1:11" x14ac:dyDescent="0.35">
      <c r="A537" t="s">
        <v>655</v>
      </c>
      <c r="B537" s="2">
        <v>46366</v>
      </c>
      <c r="C537" s="2"/>
      <c r="D537" t="s">
        <v>75</v>
      </c>
      <c r="E537" t="s">
        <v>139</v>
      </c>
      <c r="F537" t="s">
        <v>66</v>
      </c>
      <c r="G537">
        <v>5</v>
      </c>
      <c r="H537">
        <v>95000</v>
      </c>
      <c r="I537">
        <v>475000</v>
      </c>
      <c r="J537" t="s">
        <v>31</v>
      </c>
      <c r="K537" t="s">
        <v>146</v>
      </c>
    </row>
    <row r="538" spans="1:11" x14ac:dyDescent="0.35">
      <c r="A538" t="s">
        <v>656</v>
      </c>
      <c r="B538" s="2">
        <v>46367</v>
      </c>
      <c r="C538" s="2"/>
      <c r="D538" t="s">
        <v>97</v>
      </c>
      <c r="E538" t="s">
        <v>100</v>
      </c>
      <c r="F538" t="s">
        <v>35</v>
      </c>
      <c r="G538">
        <v>1</v>
      </c>
      <c r="H538">
        <v>540000</v>
      </c>
      <c r="I538">
        <v>540000</v>
      </c>
      <c r="J538" t="s">
        <v>36</v>
      </c>
      <c r="K538" t="s">
        <v>84</v>
      </c>
    </row>
    <row r="539" spans="1:11" x14ac:dyDescent="0.35">
      <c r="A539" t="s">
        <v>657</v>
      </c>
      <c r="B539" s="2">
        <v>46368</v>
      </c>
      <c r="C539" s="2"/>
      <c r="D539" t="s">
        <v>72</v>
      </c>
      <c r="E539" t="s">
        <v>29</v>
      </c>
      <c r="F539" t="s">
        <v>95</v>
      </c>
      <c r="G539">
        <v>4</v>
      </c>
      <c r="H539">
        <v>68000</v>
      </c>
      <c r="I539">
        <v>272000</v>
      </c>
      <c r="J539" t="s">
        <v>51</v>
      </c>
      <c r="K539" t="s">
        <v>32</v>
      </c>
    </row>
    <row r="540" spans="1:11" x14ac:dyDescent="0.35">
      <c r="A540" t="s">
        <v>658</v>
      </c>
      <c r="B540" s="2">
        <v>46369</v>
      </c>
      <c r="C540" s="2"/>
      <c r="D540" t="s">
        <v>131</v>
      </c>
      <c r="E540" t="s">
        <v>127</v>
      </c>
      <c r="F540" t="s">
        <v>59</v>
      </c>
      <c r="G540">
        <v>2</v>
      </c>
      <c r="H540">
        <v>68000</v>
      </c>
      <c r="I540">
        <v>136000</v>
      </c>
      <c r="J540" t="s">
        <v>36</v>
      </c>
      <c r="K540" t="s">
        <v>56</v>
      </c>
    </row>
    <row r="541" spans="1:11" x14ac:dyDescent="0.35">
      <c r="A541" t="s">
        <v>659</v>
      </c>
      <c r="B541" s="2">
        <v>46370</v>
      </c>
      <c r="C541" s="2"/>
      <c r="D541" t="s">
        <v>68</v>
      </c>
      <c r="E541" t="s">
        <v>92</v>
      </c>
      <c r="F541" t="s">
        <v>30</v>
      </c>
      <c r="G541">
        <v>5</v>
      </c>
      <c r="H541">
        <v>68000</v>
      </c>
      <c r="I541">
        <v>340000</v>
      </c>
      <c r="J541" t="s">
        <v>31</v>
      </c>
      <c r="K541" t="s">
        <v>84</v>
      </c>
    </row>
    <row r="542" spans="1:11" x14ac:dyDescent="0.35">
      <c r="A542" t="s">
        <v>660</v>
      </c>
      <c r="B542" s="2">
        <v>46371</v>
      </c>
      <c r="C542" s="2"/>
      <c r="D542" t="s">
        <v>109</v>
      </c>
      <c r="E542" t="s">
        <v>80</v>
      </c>
      <c r="F542" t="s">
        <v>50</v>
      </c>
      <c r="G542">
        <v>3</v>
      </c>
      <c r="H542">
        <v>540000</v>
      </c>
      <c r="I542">
        <v>1620000</v>
      </c>
      <c r="J542" t="s">
        <v>31</v>
      </c>
      <c r="K542" t="s">
        <v>37</v>
      </c>
    </row>
    <row r="543" spans="1:11" x14ac:dyDescent="0.35">
      <c r="A543" t="s">
        <v>661</v>
      </c>
      <c r="B543" s="2">
        <v>46372</v>
      </c>
      <c r="C543" s="2"/>
      <c r="D543" t="s">
        <v>39</v>
      </c>
      <c r="E543" t="s">
        <v>208</v>
      </c>
      <c r="F543" t="s">
        <v>45</v>
      </c>
      <c r="G543">
        <v>4</v>
      </c>
      <c r="H543">
        <v>280000</v>
      </c>
      <c r="I543">
        <v>1120000</v>
      </c>
      <c r="J543" t="s">
        <v>31</v>
      </c>
      <c r="K543" t="s">
        <v>56</v>
      </c>
    </row>
    <row r="544" spans="1:11" x14ac:dyDescent="0.35">
      <c r="A544" t="s">
        <v>662</v>
      </c>
      <c r="B544" s="2">
        <v>46373</v>
      </c>
      <c r="C544" s="2"/>
      <c r="D544" t="s">
        <v>97</v>
      </c>
      <c r="E544" t="s">
        <v>127</v>
      </c>
      <c r="F544" t="s">
        <v>70</v>
      </c>
      <c r="G544">
        <v>5</v>
      </c>
      <c r="H544">
        <v>120000</v>
      </c>
      <c r="I544">
        <v>600000</v>
      </c>
      <c r="J544" t="s">
        <v>31</v>
      </c>
      <c r="K544" t="s">
        <v>37</v>
      </c>
    </row>
    <row r="545" spans="1:11" x14ac:dyDescent="0.35">
      <c r="A545" t="s">
        <v>663</v>
      </c>
      <c r="B545" s="2">
        <v>46374</v>
      </c>
      <c r="C545" s="2"/>
      <c r="D545" t="s">
        <v>68</v>
      </c>
      <c r="E545" t="s">
        <v>49</v>
      </c>
      <c r="F545" t="s">
        <v>45</v>
      </c>
      <c r="G545">
        <v>1</v>
      </c>
      <c r="H545">
        <v>45000</v>
      </c>
      <c r="I545">
        <v>45000</v>
      </c>
      <c r="J545" t="s">
        <v>51</v>
      </c>
      <c r="K545" t="s">
        <v>84</v>
      </c>
    </row>
    <row r="546" spans="1:11" x14ac:dyDescent="0.35">
      <c r="A546" t="s">
        <v>664</v>
      </c>
      <c r="B546" s="2">
        <v>46375</v>
      </c>
      <c r="C546" s="2"/>
      <c r="D546" t="s">
        <v>68</v>
      </c>
      <c r="E546" t="s">
        <v>183</v>
      </c>
      <c r="F546" t="s">
        <v>41</v>
      </c>
      <c r="G546">
        <v>1</v>
      </c>
      <c r="H546">
        <v>540000</v>
      </c>
      <c r="I546">
        <v>540000</v>
      </c>
      <c r="J546" t="s">
        <v>31</v>
      </c>
      <c r="K546" t="s">
        <v>32</v>
      </c>
    </row>
    <row r="547" spans="1:11" x14ac:dyDescent="0.35">
      <c r="A547" t="s">
        <v>665</v>
      </c>
      <c r="B547" s="2">
        <v>46376</v>
      </c>
      <c r="C547" s="2"/>
      <c r="D547" t="s">
        <v>97</v>
      </c>
      <c r="E547" t="s">
        <v>143</v>
      </c>
      <c r="F547" t="s">
        <v>45</v>
      </c>
      <c r="G547">
        <v>1</v>
      </c>
      <c r="H547">
        <v>95000</v>
      </c>
      <c r="I547">
        <v>95000</v>
      </c>
      <c r="J547" t="s">
        <v>51</v>
      </c>
      <c r="K547" t="s">
        <v>37</v>
      </c>
    </row>
    <row r="548" spans="1:11" x14ac:dyDescent="0.35">
      <c r="A548" t="s">
        <v>666</v>
      </c>
      <c r="B548" s="2">
        <v>46377</v>
      </c>
      <c r="C548" s="2"/>
      <c r="D548" t="s">
        <v>133</v>
      </c>
      <c r="E548" t="s">
        <v>246</v>
      </c>
      <c r="F548" t="s">
        <v>95</v>
      </c>
      <c r="G548">
        <v>1</v>
      </c>
      <c r="H548">
        <v>120000</v>
      </c>
      <c r="I548">
        <v>120000</v>
      </c>
      <c r="J548" t="s">
        <v>31</v>
      </c>
      <c r="K548" t="s">
        <v>60</v>
      </c>
    </row>
    <row r="549" spans="1:11" x14ac:dyDescent="0.35">
      <c r="A549" t="s">
        <v>667</v>
      </c>
      <c r="B549" s="2">
        <v>46378</v>
      </c>
      <c r="C549" s="2"/>
      <c r="D549" t="s">
        <v>34</v>
      </c>
      <c r="E549" t="s">
        <v>58</v>
      </c>
      <c r="F549" t="s">
        <v>59</v>
      </c>
      <c r="G549">
        <v>3</v>
      </c>
      <c r="H549">
        <v>95000</v>
      </c>
      <c r="I549">
        <v>285000</v>
      </c>
      <c r="J549" t="s">
        <v>51</v>
      </c>
      <c r="K549" t="s">
        <v>84</v>
      </c>
    </row>
    <row r="550" spans="1:11" x14ac:dyDescent="0.35">
      <c r="A550" t="s">
        <v>668</v>
      </c>
      <c r="B550" s="2">
        <v>46379</v>
      </c>
      <c r="C550" s="2"/>
      <c r="D550" t="s">
        <v>138</v>
      </c>
      <c r="E550" t="s">
        <v>269</v>
      </c>
      <c r="F550" t="s">
        <v>50</v>
      </c>
      <c r="G550">
        <v>4</v>
      </c>
      <c r="H550">
        <v>120000</v>
      </c>
      <c r="I550">
        <v>480000</v>
      </c>
      <c r="J550" t="s">
        <v>36</v>
      </c>
      <c r="K550" t="s">
        <v>60</v>
      </c>
    </row>
    <row r="551" spans="1:11" x14ac:dyDescent="0.35">
      <c r="A551" t="s">
        <v>669</v>
      </c>
      <c r="B551" s="2">
        <v>46380</v>
      </c>
      <c r="C551" s="2"/>
      <c r="D551" t="s">
        <v>112</v>
      </c>
      <c r="E551" t="s">
        <v>69</v>
      </c>
      <c r="F551" t="s">
        <v>30</v>
      </c>
      <c r="G551">
        <v>2</v>
      </c>
      <c r="H551">
        <v>280000</v>
      </c>
      <c r="I551">
        <v>560000</v>
      </c>
      <c r="J551" t="s">
        <v>31</v>
      </c>
      <c r="K551" t="s">
        <v>84</v>
      </c>
    </row>
    <row r="552" spans="1:11" x14ac:dyDescent="0.35">
      <c r="A552" t="s">
        <v>670</v>
      </c>
      <c r="B552" s="2">
        <v>46381</v>
      </c>
      <c r="C552" s="2"/>
      <c r="D552" t="s">
        <v>43</v>
      </c>
      <c r="E552" t="s">
        <v>175</v>
      </c>
      <c r="F552" t="s">
        <v>30</v>
      </c>
      <c r="G552">
        <v>3</v>
      </c>
      <c r="H552">
        <v>185000</v>
      </c>
      <c r="I552">
        <v>555000</v>
      </c>
      <c r="J552" t="s">
        <v>51</v>
      </c>
      <c r="K552" t="s">
        <v>46</v>
      </c>
    </row>
    <row r="553" spans="1:11" x14ac:dyDescent="0.35">
      <c r="A553" t="s">
        <v>671</v>
      </c>
      <c r="B553" s="2">
        <v>46382</v>
      </c>
      <c r="C553" s="2"/>
      <c r="D553" t="s">
        <v>97</v>
      </c>
      <c r="E553" t="s">
        <v>69</v>
      </c>
      <c r="F553" t="s">
        <v>35</v>
      </c>
      <c r="G553">
        <v>3</v>
      </c>
      <c r="H553">
        <v>95000</v>
      </c>
      <c r="I553">
        <v>285000</v>
      </c>
      <c r="J553" t="s">
        <v>36</v>
      </c>
      <c r="K553" t="s">
        <v>46</v>
      </c>
    </row>
    <row r="554" spans="1:11" x14ac:dyDescent="0.35">
      <c r="A554" t="s">
        <v>672</v>
      </c>
      <c r="B554" s="2">
        <v>46383</v>
      </c>
      <c r="C554" s="2"/>
      <c r="D554" t="s">
        <v>48</v>
      </c>
      <c r="E554" t="s">
        <v>139</v>
      </c>
      <c r="F554" t="s">
        <v>70</v>
      </c>
      <c r="G554">
        <v>2</v>
      </c>
      <c r="H554">
        <v>540000</v>
      </c>
      <c r="I554">
        <v>1080000</v>
      </c>
      <c r="J554" t="s">
        <v>31</v>
      </c>
      <c r="K554" t="s">
        <v>46</v>
      </c>
    </row>
    <row r="555" spans="1:11" x14ac:dyDescent="0.35">
      <c r="A555" t="s">
        <v>673</v>
      </c>
      <c r="B555" s="2">
        <v>46384</v>
      </c>
      <c r="C555" s="2"/>
      <c r="D555" t="s">
        <v>117</v>
      </c>
      <c r="E555" t="s">
        <v>121</v>
      </c>
      <c r="F555" t="s">
        <v>66</v>
      </c>
      <c r="G555">
        <v>2</v>
      </c>
      <c r="H555">
        <v>120000</v>
      </c>
      <c r="I555">
        <v>240000</v>
      </c>
      <c r="J555" t="s">
        <v>31</v>
      </c>
      <c r="K555" t="s">
        <v>37</v>
      </c>
    </row>
    <row r="556" spans="1:11" x14ac:dyDescent="0.35">
      <c r="A556" t="s">
        <v>674</v>
      </c>
      <c r="B556" s="2">
        <v>46385</v>
      </c>
      <c r="C556" s="2"/>
      <c r="D556" t="s">
        <v>161</v>
      </c>
      <c r="E556" t="s">
        <v>69</v>
      </c>
      <c r="F556" t="s">
        <v>59</v>
      </c>
      <c r="G556">
        <v>1</v>
      </c>
      <c r="H556">
        <v>68000</v>
      </c>
      <c r="I556">
        <v>68000</v>
      </c>
      <c r="J556" t="s">
        <v>31</v>
      </c>
      <c r="K556" t="s">
        <v>60</v>
      </c>
    </row>
    <row r="557" spans="1:11" x14ac:dyDescent="0.35">
      <c r="A557" t="s">
        <v>675</v>
      </c>
      <c r="B557" s="2">
        <v>46386</v>
      </c>
      <c r="C557" s="2"/>
      <c r="D557" t="s">
        <v>120</v>
      </c>
      <c r="E557" t="s">
        <v>239</v>
      </c>
      <c r="F557" t="s">
        <v>66</v>
      </c>
      <c r="G557">
        <v>3</v>
      </c>
      <c r="H557">
        <v>365000</v>
      </c>
      <c r="I557">
        <v>1095000</v>
      </c>
      <c r="J557" t="s">
        <v>51</v>
      </c>
      <c r="K557" t="s">
        <v>60</v>
      </c>
    </row>
    <row r="558" spans="1:11" x14ac:dyDescent="0.35">
      <c r="A558" t="s">
        <v>676</v>
      </c>
      <c r="B558" s="2">
        <v>46387</v>
      </c>
      <c r="C558" s="2"/>
      <c r="D558" t="s">
        <v>53</v>
      </c>
      <c r="E558" t="s">
        <v>76</v>
      </c>
      <c r="F558" t="s">
        <v>50</v>
      </c>
      <c r="G558">
        <v>5</v>
      </c>
      <c r="H558">
        <v>68000</v>
      </c>
      <c r="I558">
        <v>340000</v>
      </c>
      <c r="J558" t="s">
        <v>51</v>
      </c>
      <c r="K558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4833-7FE9-443A-ADF9-F3C79CA4D5CF}">
  <dimension ref="A1"/>
  <sheetViews>
    <sheetView showGridLines="0" workbookViewId="0">
      <selection activeCell="S6" sqref="S6"/>
    </sheetView>
  </sheetViews>
  <sheetFormatPr defaultRowHeight="14.5" x14ac:dyDescent="0.35"/>
  <cols>
    <col min="1" max="16384" width="8.7265625" style="13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677D-C05D-43FB-A6AF-16FF59755921}">
  <dimension ref="A1:E550"/>
  <sheetViews>
    <sheetView topLeftCell="A3" workbookViewId="0"/>
  </sheetViews>
  <sheetFormatPr defaultRowHeight="14.5" x14ac:dyDescent="0.35"/>
  <cols>
    <col min="1" max="1" width="10.36328125" bestFit="1" customWidth="1"/>
  </cols>
  <sheetData>
    <row r="1" spans="1:5" x14ac:dyDescent="0.35">
      <c r="A1" s="1" t="s">
        <v>0</v>
      </c>
      <c r="B1" s="1" t="s">
        <v>1</v>
      </c>
    </row>
    <row r="2" spans="1:5" x14ac:dyDescent="0.35">
      <c r="A2" s="2">
        <v>45839</v>
      </c>
      <c r="B2">
        <v>960</v>
      </c>
      <c r="E2" t="s">
        <v>682</v>
      </c>
    </row>
    <row r="3" spans="1:5" x14ac:dyDescent="0.35">
      <c r="A3" s="2">
        <v>45840</v>
      </c>
      <c r="B3">
        <v>3872</v>
      </c>
    </row>
    <row r="4" spans="1:5" x14ac:dyDescent="0.35">
      <c r="A4" s="2">
        <v>45841</v>
      </c>
      <c r="B4">
        <v>3192</v>
      </c>
      <c r="E4" t="s">
        <v>681</v>
      </c>
    </row>
    <row r="5" spans="1:5" x14ac:dyDescent="0.35">
      <c r="A5" s="2">
        <v>45842</v>
      </c>
      <c r="B5">
        <v>566</v>
      </c>
    </row>
    <row r="6" spans="1:5" x14ac:dyDescent="0.35">
      <c r="A6" s="2">
        <v>45843</v>
      </c>
      <c r="B6">
        <v>4526</v>
      </c>
      <c r="E6" t="s">
        <v>685</v>
      </c>
    </row>
    <row r="7" spans="1:5" x14ac:dyDescent="0.35">
      <c r="A7" s="2">
        <v>45844</v>
      </c>
      <c r="B7">
        <v>3544</v>
      </c>
    </row>
    <row r="8" spans="1:5" x14ac:dyDescent="0.35">
      <c r="A8" s="2">
        <v>45845</v>
      </c>
      <c r="B8">
        <v>3271</v>
      </c>
      <c r="E8" t="s">
        <v>683</v>
      </c>
    </row>
    <row r="9" spans="1:5" x14ac:dyDescent="0.35">
      <c r="A9" s="2">
        <v>45846</v>
      </c>
      <c r="B9">
        <v>3019</v>
      </c>
    </row>
    <row r="10" spans="1:5" x14ac:dyDescent="0.35">
      <c r="A10" s="2">
        <v>45847</v>
      </c>
      <c r="B10">
        <v>230</v>
      </c>
      <c r="E10" t="s">
        <v>686</v>
      </c>
    </row>
    <row r="11" spans="1:5" x14ac:dyDescent="0.35">
      <c r="A11" s="2">
        <v>45848</v>
      </c>
      <c r="B11">
        <v>1785</v>
      </c>
    </row>
    <row r="12" spans="1:5" x14ac:dyDescent="0.35">
      <c r="A12" s="2">
        <v>45849</v>
      </c>
      <c r="B12">
        <v>869</v>
      </c>
      <c r="E12" t="s">
        <v>684</v>
      </c>
    </row>
    <row r="13" spans="1:5" x14ac:dyDescent="0.35">
      <c r="A13" s="2">
        <v>45850</v>
      </c>
      <c r="B13">
        <v>2491</v>
      </c>
    </row>
    <row r="14" spans="1:5" x14ac:dyDescent="0.35">
      <c r="A14" s="2">
        <v>45851</v>
      </c>
      <c r="B14">
        <v>2533</v>
      </c>
      <c r="E14" t="s">
        <v>688</v>
      </c>
    </row>
    <row r="15" spans="1:5" x14ac:dyDescent="0.35">
      <c r="A15" s="2">
        <v>45852</v>
      </c>
      <c r="B15">
        <v>1284</v>
      </c>
    </row>
    <row r="16" spans="1:5" x14ac:dyDescent="0.35">
      <c r="A16" s="2">
        <v>45853</v>
      </c>
      <c r="B16">
        <v>4655</v>
      </c>
      <c r="E16" t="s">
        <v>687</v>
      </c>
    </row>
    <row r="17" spans="1:2" x14ac:dyDescent="0.35">
      <c r="A17" s="2">
        <v>45854</v>
      </c>
      <c r="B17">
        <v>3485</v>
      </c>
    </row>
    <row r="18" spans="1:2" x14ac:dyDescent="0.35">
      <c r="A18" s="2">
        <v>45855</v>
      </c>
      <c r="B18">
        <v>4217</v>
      </c>
    </row>
    <row r="19" spans="1:2" x14ac:dyDescent="0.35">
      <c r="A19" s="2">
        <v>45856</v>
      </c>
      <c r="B19">
        <v>4943</v>
      </c>
    </row>
    <row r="20" spans="1:2" x14ac:dyDescent="0.35">
      <c r="A20" s="2">
        <v>45857</v>
      </c>
      <c r="B20">
        <v>3004</v>
      </c>
    </row>
    <row r="21" spans="1:2" x14ac:dyDescent="0.35">
      <c r="A21" s="2">
        <v>45858</v>
      </c>
      <c r="B21">
        <v>574</v>
      </c>
    </row>
    <row r="22" spans="1:2" x14ac:dyDescent="0.35">
      <c r="A22" s="2">
        <v>45859</v>
      </c>
      <c r="B22">
        <v>1182</v>
      </c>
    </row>
    <row r="23" spans="1:2" x14ac:dyDescent="0.35">
      <c r="A23" s="2">
        <v>45860</v>
      </c>
      <c r="B23">
        <v>2658</v>
      </c>
    </row>
    <row r="24" spans="1:2" x14ac:dyDescent="0.35">
      <c r="A24" s="2">
        <v>45861</v>
      </c>
      <c r="B24">
        <v>2147</v>
      </c>
    </row>
    <row r="25" spans="1:2" x14ac:dyDescent="0.35">
      <c r="A25" s="2">
        <v>45862</v>
      </c>
      <c r="B25">
        <v>2847</v>
      </c>
    </row>
    <row r="26" spans="1:2" x14ac:dyDescent="0.35">
      <c r="A26" s="2">
        <v>45863</v>
      </c>
      <c r="B26">
        <v>1075</v>
      </c>
    </row>
    <row r="27" spans="1:2" x14ac:dyDescent="0.35">
      <c r="A27" s="2">
        <v>45864</v>
      </c>
      <c r="B27">
        <v>1906</v>
      </c>
    </row>
    <row r="28" spans="1:2" x14ac:dyDescent="0.35">
      <c r="A28" s="2">
        <v>45865</v>
      </c>
      <c r="B28">
        <v>289</v>
      </c>
    </row>
    <row r="29" spans="1:2" x14ac:dyDescent="0.35">
      <c r="A29" s="2">
        <v>45866</v>
      </c>
      <c r="B29">
        <v>2834</v>
      </c>
    </row>
    <row r="30" spans="1:2" x14ac:dyDescent="0.35">
      <c r="A30" s="2">
        <v>45867</v>
      </c>
      <c r="B30">
        <v>3105</v>
      </c>
    </row>
    <row r="31" spans="1:2" x14ac:dyDescent="0.35">
      <c r="A31" s="2">
        <v>45868</v>
      </c>
      <c r="B31">
        <v>4758</v>
      </c>
    </row>
    <row r="32" spans="1:2" x14ac:dyDescent="0.35">
      <c r="A32" s="2">
        <v>45869</v>
      </c>
      <c r="B32">
        <v>1999</v>
      </c>
    </row>
    <row r="33" spans="1:2" x14ac:dyDescent="0.35">
      <c r="A33" s="2">
        <v>45870</v>
      </c>
      <c r="B33">
        <v>1367</v>
      </c>
    </row>
    <row r="34" spans="1:2" x14ac:dyDescent="0.35">
      <c r="A34" s="2">
        <v>45871</v>
      </c>
      <c r="B34">
        <v>1628</v>
      </c>
    </row>
    <row r="35" spans="1:2" x14ac:dyDescent="0.35">
      <c r="A35" s="2">
        <v>45872</v>
      </c>
      <c r="B35">
        <v>3302</v>
      </c>
    </row>
    <row r="36" spans="1:2" x14ac:dyDescent="0.35">
      <c r="A36" s="2">
        <v>45873</v>
      </c>
      <c r="B36">
        <v>3656</v>
      </c>
    </row>
    <row r="37" spans="1:2" x14ac:dyDescent="0.35">
      <c r="A37" s="2">
        <v>45874</v>
      </c>
      <c r="B37">
        <v>3990</v>
      </c>
    </row>
    <row r="38" spans="1:2" x14ac:dyDescent="0.35">
      <c r="A38" s="2">
        <v>45875</v>
      </c>
      <c r="B38">
        <v>746</v>
      </c>
    </row>
    <row r="39" spans="1:2" x14ac:dyDescent="0.35">
      <c r="A39" s="2">
        <v>45876</v>
      </c>
      <c r="B39">
        <v>2988</v>
      </c>
    </row>
    <row r="40" spans="1:2" x14ac:dyDescent="0.35">
      <c r="A40" s="2">
        <v>45877</v>
      </c>
      <c r="B40">
        <v>2535</v>
      </c>
    </row>
    <row r="41" spans="1:2" x14ac:dyDescent="0.35">
      <c r="A41" s="2">
        <v>45878</v>
      </c>
      <c r="B41">
        <v>700</v>
      </c>
    </row>
    <row r="42" spans="1:2" x14ac:dyDescent="0.35">
      <c r="A42" s="2">
        <v>45879</v>
      </c>
      <c r="B42">
        <v>2463</v>
      </c>
    </row>
    <row r="43" spans="1:2" x14ac:dyDescent="0.35">
      <c r="A43" s="2">
        <v>45880</v>
      </c>
      <c r="B43">
        <v>2161</v>
      </c>
    </row>
    <row r="44" spans="1:2" x14ac:dyDescent="0.35">
      <c r="A44" s="2">
        <v>45881</v>
      </c>
      <c r="B44">
        <v>341</v>
      </c>
    </row>
    <row r="45" spans="1:2" x14ac:dyDescent="0.35">
      <c r="A45" s="2">
        <v>45882</v>
      </c>
      <c r="B45">
        <v>2141</v>
      </c>
    </row>
    <row r="46" spans="1:2" x14ac:dyDescent="0.35">
      <c r="A46" s="2">
        <v>45883</v>
      </c>
      <c r="B46">
        <v>2924</v>
      </c>
    </row>
    <row r="47" spans="1:2" x14ac:dyDescent="0.35">
      <c r="A47" s="2">
        <v>45884</v>
      </c>
      <c r="B47">
        <v>2712</v>
      </c>
    </row>
    <row r="48" spans="1:2" x14ac:dyDescent="0.35">
      <c r="A48" s="2">
        <v>45885</v>
      </c>
      <c r="B48">
        <v>1463</v>
      </c>
    </row>
    <row r="49" spans="1:2" x14ac:dyDescent="0.35">
      <c r="A49" s="2">
        <v>45886</v>
      </c>
      <c r="B49">
        <v>1578</v>
      </c>
    </row>
    <row r="50" spans="1:2" x14ac:dyDescent="0.35">
      <c r="A50" s="2">
        <v>45887</v>
      </c>
      <c r="B50">
        <v>2656</v>
      </c>
    </row>
    <row r="51" spans="1:2" x14ac:dyDescent="0.35">
      <c r="A51" s="2">
        <v>45888</v>
      </c>
      <c r="B51">
        <v>875</v>
      </c>
    </row>
    <row r="52" spans="1:2" x14ac:dyDescent="0.35">
      <c r="A52" s="2">
        <v>45889</v>
      </c>
      <c r="B52">
        <v>4114</v>
      </c>
    </row>
    <row r="53" spans="1:2" x14ac:dyDescent="0.35">
      <c r="A53" s="2">
        <v>45890</v>
      </c>
      <c r="B53">
        <v>134</v>
      </c>
    </row>
    <row r="54" spans="1:2" x14ac:dyDescent="0.35">
      <c r="A54" s="2">
        <v>45891</v>
      </c>
      <c r="B54">
        <v>3252</v>
      </c>
    </row>
    <row r="55" spans="1:2" x14ac:dyDescent="0.35">
      <c r="A55" s="2">
        <v>45892</v>
      </c>
      <c r="B55">
        <v>2055</v>
      </c>
    </row>
    <row r="56" spans="1:2" x14ac:dyDescent="0.35">
      <c r="A56" s="2">
        <v>45893</v>
      </c>
      <c r="B56">
        <v>1685</v>
      </c>
    </row>
    <row r="57" spans="1:2" x14ac:dyDescent="0.35">
      <c r="A57" s="2">
        <v>45894</v>
      </c>
      <c r="B57">
        <v>4043</v>
      </c>
    </row>
    <row r="58" spans="1:2" x14ac:dyDescent="0.35">
      <c r="A58" s="2">
        <v>45895</v>
      </c>
      <c r="B58">
        <v>3173</v>
      </c>
    </row>
    <row r="59" spans="1:2" x14ac:dyDescent="0.35">
      <c r="A59" s="2">
        <v>45896</v>
      </c>
      <c r="B59">
        <v>1121</v>
      </c>
    </row>
    <row r="60" spans="1:2" x14ac:dyDescent="0.35">
      <c r="A60" s="2">
        <v>45897</v>
      </c>
      <c r="B60">
        <v>3561</v>
      </c>
    </row>
    <row r="61" spans="1:2" x14ac:dyDescent="0.35">
      <c r="A61" s="2">
        <v>45898</v>
      </c>
      <c r="B61">
        <v>2713</v>
      </c>
    </row>
    <row r="62" spans="1:2" x14ac:dyDescent="0.35">
      <c r="A62" s="2">
        <v>45899</v>
      </c>
      <c r="B62">
        <v>3943</v>
      </c>
    </row>
    <row r="63" spans="1:2" x14ac:dyDescent="0.35">
      <c r="A63" s="2">
        <v>45900</v>
      </c>
      <c r="B63">
        <v>1600</v>
      </c>
    </row>
    <row r="64" spans="1:2" x14ac:dyDescent="0.35">
      <c r="A64" s="2">
        <v>45901</v>
      </c>
      <c r="B64">
        <v>4898</v>
      </c>
    </row>
    <row r="65" spans="1:2" x14ac:dyDescent="0.35">
      <c r="A65" s="2">
        <v>45902</v>
      </c>
      <c r="B65">
        <v>261</v>
      </c>
    </row>
    <row r="66" spans="1:2" x14ac:dyDescent="0.35">
      <c r="A66" s="2">
        <v>45903</v>
      </c>
      <c r="B66">
        <v>4397</v>
      </c>
    </row>
    <row r="67" spans="1:2" x14ac:dyDescent="0.35">
      <c r="A67" s="2">
        <v>45904</v>
      </c>
      <c r="B67">
        <v>2081</v>
      </c>
    </row>
    <row r="68" spans="1:2" x14ac:dyDescent="0.35">
      <c r="A68" s="2">
        <v>45905</v>
      </c>
      <c r="B68">
        <v>1095</v>
      </c>
    </row>
    <row r="69" spans="1:2" x14ac:dyDescent="0.35">
      <c r="A69" s="2">
        <v>45906</v>
      </c>
      <c r="B69">
        <v>3442</v>
      </c>
    </row>
    <row r="70" spans="1:2" x14ac:dyDescent="0.35">
      <c r="A70" s="2">
        <v>45907</v>
      </c>
      <c r="B70">
        <v>4651</v>
      </c>
    </row>
    <row r="71" spans="1:2" x14ac:dyDescent="0.35">
      <c r="A71" s="2">
        <v>45908</v>
      </c>
      <c r="B71">
        <v>3898</v>
      </c>
    </row>
    <row r="72" spans="1:2" x14ac:dyDescent="0.35">
      <c r="A72" s="2">
        <v>45909</v>
      </c>
      <c r="B72">
        <v>1375</v>
      </c>
    </row>
    <row r="73" spans="1:2" x14ac:dyDescent="0.35">
      <c r="A73" s="2">
        <v>45910</v>
      </c>
      <c r="B73">
        <v>1116</v>
      </c>
    </row>
    <row r="74" spans="1:2" x14ac:dyDescent="0.35">
      <c r="A74" s="2">
        <v>45911</v>
      </c>
      <c r="B74">
        <v>437</v>
      </c>
    </row>
    <row r="75" spans="1:2" x14ac:dyDescent="0.35">
      <c r="A75" s="2">
        <v>45912</v>
      </c>
      <c r="B75">
        <v>978</v>
      </c>
    </row>
    <row r="76" spans="1:2" x14ac:dyDescent="0.35">
      <c r="A76" s="2">
        <v>45913</v>
      </c>
      <c r="B76">
        <v>1176</v>
      </c>
    </row>
    <row r="77" spans="1:2" x14ac:dyDescent="0.35">
      <c r="A77" s="2">
        <v>45914</v>
      </c>
      <c r="B77">
        <v>4987</v>
      </c>
    </row>
    <row r="78" spans="1:2" x14ac:dyDescent="0.35">
      <c r="A78" s="2">
        <v>45915</v>
      </c>
      <c r="B78">
        <v>4093</v>
      </c>
    </row>
    <row r="79" spans="1:2" x14ac:dyDescent="0.35">
      <c r="A79" s="2">
        <v>45916</v>
      </c>
      <c r="B79">
        <v>4959</v>
      </c>
    </row>
    <row r="80" spans="1:2" x14ac:dyDescent="0.35">
      <c r="A80" s="2">
        <v>45917</v>
      </c>
      <c r="B80">
        <v>479</v>
      </c>
    </row>
    <row r="81" spans="1:2" x14ac:dyDescent="0.35">
      <c r="A81" s="2">
        <v>45918</v>
      </c>
      <c r="B81">
        <v>592</v>
      </c>
    </row>
    <row r="82" spans="1:2" x14ac:dyDescent="0.35">
      <c r="A82" s="2">
        <v>45919</v>
      </c>
      <c r="B82">
        <v>2162</v>
      </c>
    </row>
    <row r="83" spans="1:2" x14ac:dyDescent="0.35">
      <c r="A83" s="2">
        <v>45920</v>
      </c>
      <c r="B83">
        <v>3984</v>
      </c>
    </row>
    <row r="84" spans="1:2" x14ac:dyDescent="0.35">
      <c r="A84" s="2">
        <v>45921</v>
      </c>
      <c r="B84">
        <v>164</v>
      </c>
    </row>
    <row r="85" spans="1:2" x14ac:dyDescent="0.35">
      <c r="A85" s="2">
        <v>45922</v>
      </c>
      <c r="B85">
        <v>2668</v>
      </c>
    </row>
    <row r="86" spans="1:2" x14ac:dyDescent="0.35">
      <c r="A86" s="2">
        <v>45923</v>
      </c>
      <c r="B86">
        <v>2127</v>
      </c>
    </row>
    <row r="87" spans="1:2" x14ac:dyDescent="0.35">
      <c r="A87" s="2">
        <v>45924</v>
      </c>
      <c r="B87">
        <v>2795</v>
      </c>
    </row>
    <row r="88" spans="1:2" x14ac:dyDescent="0.35">
      <c r="A88" s="2">
        <v>45925</v>
      </c>
      <c r="B88">
        <v>1595</v>
      </c>
    </row>
    <row r="89" spans="1:2" x14ac:dyDescent="0.35">
      <c r="A89" s="2">
        <v>45926</v>
      </c>
      <c r="B89">
        <v>491</v>
      </c>
    </row>
    <row r="90" spans="1:2" x14ac:dyDescent="0.35">
      <c r="A90" s="2">
        <v>45927</v>
      </c>
      <c r="B90">
        <v>4614</v>
      </c>
    </row>
    <row r="91" spans="1:2" x14ac:dyDescent="0.35">
      <c r="A91" s="2">
        <v>45928</v>
      </c>
      <c r="B91">
        <v>4574</v>
      </c>
    </row>
    <row r="92" spans="1:2" x14ac:dyDescent="0.35">
      <c r="A92" s="2">
        <v>45929</v>
      </c>
      <c r="B92">
        <v>3661</v>
      </c>
    </row>
    <row r="93" spans="1:2" x14ac:dyDescent="0.35">
      <c r="A93" s="2">
        <v>45930</v>
      </c>
      <c r="B93">
        <v>2378</v>
      </c>
    </row>
    <row r="94" spans="1:2" x14ac:dyDescent="0.35">
      <c r="A94" s="2">
        <v>45931</v>
      </c>
      <c r="B94">
        <v>3199</v>
      </c>
    </row>
    <row r="95" spans="1:2" x14ac:dyDescent="0.35">
      <c r="A95" s="2">
        <v>45932</v>
      </c>
      <c r="B95">
        <v>300</v>
      </c>
    </row>
    <row r="96" spans="1:2" x14ac:dyDescent="0.35">
      <c r="A96" s="2">
        <v>45933</v>
      </c>
      <c r="B96">
        <v>4975</v>
      </c>
    </row>
    <row r="97" spans="1:2" x14ac:dyDescent="0.35">
      <c r="A97" s="2">
        <v>45934</v>
      </c>
      <c r="B97">
        <v>3204</v>
      </c>
    </row>
    <row r="98" spans="1:2" x14ac:dyDescent="0.35">
      <c r="A98" s="2">
        <v>45935</v>
      </c>
      <c r="B98">
        <v>4698</v>
      </c>
    </row>
    <row r="99" spans="1:2" x14ac:dyDescent="0.35">
      <c r="A99" s="2">
        <v>45936</v>
      </c>
      <c r="B99">
        <v>2554</v>
      </c>
    </row>
    <row r="100" spans="1:2" x14ac:dyDescent="0.35">
      <c r="A100" s="2">
        <v>45937</v>
      </c>
      <c r="B100">
        <v>3745</v>
      </c>
    </row>
    <row r="101" spans="1:2" x14ac:dyDescent="0.35">
      <c r="A101" s="2">
        <v>45938</v>
      </c>
      <c r="B101">
        <v>904</v>
      </c>
    </row>
    <row r="102" spans="1:2" x14ac:dyDescent="0.35">
      <c r="A102" s="2">
        <v>45939</v>
      </c>
      <c r="B102">
        <v>2831</v>
      </c>
    </row>
    <row r="103" spans="1:2" x14ac:dyDescent="0.35">
      <c r="A103" s="2">
        <v>45940</v>
      </c>
      <c r="B103">
        <v>2873</v>
      </c>
    </row>
    <row r="104" spans="1:2" x14ac:dyDescent="0.35">
      <c r="A104" s="2">
        <v>45941</v>
      </c>
      <c r="B104">
        <v>1670</v>
      </c>
    </row>
    <row r="105" spans="1:2" x14ac:dyDescent="0.35">
      <c r="A105" s="2">
        <v>45942</v>
      </c>
      <c r="B105">
        <v>2790</v>
      </c>
    </row>
    <row r="106" spans="1:2" x14ac:dyDescent="0.35">
      <c r="A106" s="2">
        <v>45943</v>
      </c>
      <c r="B106">
        <v>3940</v>
      </c>
    </row>
    <row r="107" spans="1:2" x14ac:dyDescent="0.35">
      <c r="A107" s="2">
        <v>45944</v>
      </c>
      <c r="B107">
        <v>1128</v>
      </c>
    </row>
    <row r="108" spans="1:2" x14ac:dyDescent="0.35">
      <c r="A108" s="2">
        <v>45945</v>
      </c>
      <c r="B108">
        <v>602</v>
      </c>
    </row>
    <row r="109" spans="1:2" x14ac:dyDescent="0.35">
      <c r="A109" s="2">
        <v>45946</v>
      </c>
      <c r="B109">
        <v>4593</v>
      </c>
    </row>
    <row r="110" spans="1:2" x14ac:dyDescent="0.35">
      <c r="A110" s="2">
        <v>45947</v>
      </c>
      <c r="B110">
        <v>970</v>
      </c>
    </row>
    <row r="111" spans="1:2" x14ac:dyDescent="0.35">
      <c r="A111" s="2">
        <v>45948</v>
      </c>
      <c r="B111">
        <v>4588</v>
      </c>
    </row>
    <row r="112" spans="1:2" x14ac:dyDescent="0.35">
      <c r="A112" s="2">
        <v>45949</v>
      </c>
      <c r="B112">
        <v>306</v>
      </c>
    </row>
    <row r="113" spans="1:2" x14ac:dyDescent="0.35">
      <c r="A113" s="2">
        <v>45950</v>
      </c>
      <c r="B113">
        <v>1584</v>
      </c>
    </row>
    <row r="114" spans="1:2" x14ac:dyDescent="0.35">
      <c r="A114" s="2">
        <v>45951</v>
      </c>
      <c r="B114">
        <v>963</v>
      </c>
    </row>
    <row r="115" spans="1:2" x14ac:dyDescent="0.35">
      <c r="A115" s="2">
        <v>45952</v>
      </c>
      <c r="B115">
        <v>2890</v>
      </c>
    </row>
    <row r="116" spans="1:2" x14ac:dyDescent="0.35">
      <c r="A116" s="2">
        <v>45953</v>
      </c>
      <c r="B116">
        <v>663</v>
      </c>
    </row>
    <row r="117" spans="1:2" x14ac:dyDescent="0.35">
      <c r="A117" s="2">
        <v>45954</v>
      </c>
      <c r="B117">
        <v>4291</v>
      </c>
    </row>
    <row r="118" spans="1:2" x14ac:dyDescent="0.35">
      <c r="A118" s="2">
        <v>45955</v>
      </c>
      <c r="B118">
        <v>1857</v>
      </c>
    </row>
    <row r="119" spans="1:2" x14ac:dyDescent="0.35">
      <c r="A119" s="2">
        <v>45956</v>
      </c>
      <c r="B119">
        <v>1778</v>
      </c>
    </row>
    <row r="120" spans="1:2" x14ac:dyDescent="0.35">
      <c r="A120" s="2">
        <v>45957</v>
      </c>
      <c r="B120">
        <v>3342</v>
      </c>
    </row>
    <row r="121" spans="1:2" x14ac:dyDescent="0.35">
      <c r="A121" s="2">
        <v>45958</v>
      </c>
      <c r="B121">
        <v>4736</v>
      </c>
    </row>
    <row r="122" spans="1:2" x14ac:dyDescent="0.35">
      <c r="A122" s="2">
        <v>45959</v>
      </c>
      <c r="B122">
        <v>1159</v>
      </c>
    </row>
    <row r="123" spans="1:2" x14ac:dyDescent="0.35">
      <c r="A123" s="2">
        <v>45960</v>
      </c>
      <c r="B123">
        <v>1822</v>
      </c>
    </row>
    <row r="124" spans="1:2" x14ac:dyDescent="0.35">
      <c r="A124" s="2">
        <v>45961</v>
      </c>
      <c r="B124">
        <v>3414</v>
      </c>
    </row>
    <row r="125" spans="1:2" x14ac:dyDescent="0.35">
      <c r="A125" s="2">
        <v>45962</v>
      </c>
      <c r="B125">
        <v>3257</v>
      </c>
    </row>
    <row r="126" spans="1:2" x14ac:dyDescent="0.35">
      <c r="A126" s="2">
        <v>45963</v>
      </c>
      <c r="B126">
        <v>2725</v>
      </c>
    </row>
    <row r="127" spans="1:2" x14ac:dyDescent="0.35">
      <c r="A127" s="2">
        <v>45964</v>
      </c>
      <c r="B127">
        <v>2829</v>
      </c>
    </row>
    <row r="128" spans="1:2" x14ac:dyDescent="0.35">
      <c r="A128" s="2">
        <v>45965</v>
      </c>
      <c r="B128">
        <v>1697</v>
      </c>
    </row>
    <row r="129" spans="1:2" x14ac:dyDescent="0.35">
      <c r="A129" s="2">
        <v>45966</v>
      </c>
      <c r="B129">
        <v>3160</v>
      </c>
    </row>
    <row r="130" spans="1:2" x14ac:dyDescent="0.35">
      <c r="A130" s="2">
        <v>45967</v>
      </c>
      <c r="B130">
        <v>2793</v>
      </c>
    </row>
    <row r="131" spans="1:2" x14ac:dyDescent="0.35">
      <c r="A131" s="2">
        <v>45968</v>
      </c>
      <c r="B131">
        <v>4991</v>
      </c>
    </row>
    <row r="132" spans="1:2" x14ac:dyDescent="0.35">
      <c r="A132" s="2">
        <v>45969</v>
      </c>
      <c r="B132">
        <v>3727</v>
      </c>
    </row>
    <row r="133" spans="1:2" x14ac:dyDescent="0.35">
      <c r="A133" s="2">
        <v>45970</v>
      </c>
      <c r="B133">
        <v>1463</v>
      </c>
    </row>
    <row r="134" spans="1:2" x14ac:dyDescent="0.35">
      <c r="A134" s="2">
        <v>45971</v>
      </c>
      <c r="B134">
        <v>2081</v>
      </c>
    </row>
    <row r="135" spans="1:2" x14ac:dyDescent="0.35">
      <c r="A135" s="2">
        <v>45972</v>
      </c>
      <c r="B135">
        <v>1763</v>
      </c>
    </row>
    <row r="136" spans="1:2" x14ac:dyDescent="0.35">
      <c r="A136" s="2">
        <v>45973</v>
      </c>
      <c r="B136">
        <v>1629</v>
      </c>
    </row>
    <row r="137" spans="1:2" x14ac:dyDescent="0.35">
      <c r="A137" s="2">
        <v>45974</v>
      </c>
      <c r="B137">
        <v>2138</v>
      </c>
    </row>
    <row r="138" spans="1:2" x14ac:dyDescent="0.35">
      <c r="A138" s="2">
        <v>45975</v>
      </c>
      <c r="B138">
        <v>3402</v>
      </c>
    </row>
    <row r="139" spans="1:2" x14ac:dyDescent="0.35">
      <c r="A139" s="2">
        <v>45976</v>
      </c>
      <c r="B139">
        <v>2337</v>
      </c>
    </row>
    <row r="140" spans="1:2" x14ac:dyDescent="0.35">
      <c r="A140" s="2">
        <v>45977</v>
      </c>
      <c r="B140">
        <v>1406</v>
      </c>
    </row>
    <row r="141" spans="1:2" x14ac:dyDescent="0.35">
      <c r="A141" s="2">
        <v>45978</v>
      </c>
      <c r="B141">
        <v>4129</v>
      </c>
    </row>
    <row r="142" spans="1:2" x14ac:dyDescent="0.35">
      <c r="A142" s="2">
        <v>45979</v>
      </c>
      <c r="B142">
        <v>2775</v>
      </c>
    </row>
    <row r="143" spans="1:2" x14ac:dyDescent="0.35">
      <c r="A143" s="2">
        <v>45980</v>
      </c>
      <c r="B143">
        <v>1382</v>
      </c>
    </row>
    <row r="144" spans="1:2" x14ac:dyDescent="0.35">
      <c r="A144" s="2">
        <v>45981</v>
      </c>
      <c r="B144">
        <v>809</v>
      </c>
    </row>
    <row r="145" spans="1:2" x14ac:dyDescent="0.35">
      <c r="A145" s="2">
        <v>45982</v>
      </c>
      <c r="B145">
        <v>4844</v>
      </c>
    </row>
    <row r="146" spans="1:2" x14ac:dyDescent="0.35">
      <c r="A146" s="2">
        <v>45983</v>
      </c>
      <c r="B146">
        <v>4513</v>
      </c>
    </row>
    <row r="147" spans="1:2" x14ac:dyDescent="0.35">
      <c r="A147" s="2">
        <v>45984</v>
      </c>
      <c r="B147">
        <v>3848</v>
      </c>
    </row>
    <row r="148" spans="1:2" x14ac:dyDescent="0.35">
      <c r="A148" s="2">
        <v>45985</v>
      </c>
      <c r="B148">
        <v>4879</v>
      </c>
    </row>
    <row r="149" spans="1:2" x14ac:dyDescent="0.35">
      <c r="A149" s="2">
        <v>45986</v>
      </c>
      <c r="B149">
        <v>763</v>
      </c>
    </row>
    <row r="150" spans="1:2" x14ac:dyDescent="0.35">
      <c r="A150" s="2">
        <v>45987</v>
      </c>
      <c r="B150">
        <v>2098</v>
      </c>
    </row>
    <row r="151" spans="1:2" x14ac:dyDescent="0.35">
      <c r="A151" s="2">
        <v>45988</v>
      </c>
      <c r="B151">
        <v>3545</v>
      </c>
    </row>
    <row r="152" spans="1:2" x14ac:dyDescent="0.35">
      <c r="A152" s="2">
        <v>45989</v>
      </c>
      <c r="B152">
        <v>3843</v>
      </c>
    </row>
    <row r="153" spans="1:2" x14ac:dyDescent="0.35">
      <c r="A153" s="2">
        <v>45990</v>
      </c>
      <c r="B153">
        <v>1595</v>
      </c>
    </row>
    <row r="154" spans="1:2" x14ac:dyDescent="0.35">
      <c r="A154" s="2">
        <v>45991</v>
      </c>
      <c r="B154">
        <v>3404</v>
      </c>
    </row>
    <row r="155" spans="1:2" x14ac:dyDescent="0.35">
      <c r="A155" s="2">
        <v>45992</v>
      </c>
      <c r="B155">
        <v>3863</v>
      </c>
    </row>
    <row r="156" spans="1:2" x14ac:dyDescent="0.35">
      <c r="A156" s="2">
        <v>45993</v>
      </c>
      <c r="B156">
        <v>1953</v>
      </c>
    </row>
    <row r="157" spans="1:2" x14ac:dyDescent="0.35">
      <c r="A157" s="2">
        <v>45994</v>
      </c>
      <c r="B157">
        <v>4759</v>
      </c>
    </row>
    <row r="158" spans="1:2" x14ac:dyDescent="0.35">
      <c r="A158" s="2">
        <v>45995</v>
      </c>
      <c r="B158">
        <v>1391</v>
      </c>
    </row>
    <row r="159" spans="1:2" x14ac:dyDescent="0.35">
      <c r="A159" s="2">
        <v>45996</v>
      </c>
      <c r="B159">
        <v>3681</v>
      </c>
    </row>
    <row r="160" spans="1:2" x14ac:dyDescent="0.35">
      <c r="A160" s="2">
        <v>45997</v>
      </c>
      <c r="B160">
        <v>3557</v>
      </c>
    </row>
    <row r="161" spans="1:2" x14ac:dyDescent="0.35">
      <c r="A161" s="2">
        <v>45998</v>
      </c>
      <c r="B161">
        <v>1736</v>
      </c>
    </row>
    <row r="162" spans="1:2" x14ac:dyDescent="0.35">
      <c r="A162" s="2">
        <v>45999</v>
      </c>
      <c r="B162">
        <v>3796</v>
      </c>
    </row>
    <row r="163" spans="1:2" x14ac:dyDescent="0.35">
      <c r="A163" s="2">
        <v>46000</v>
      </c>
      <c r="B163">
        <v>3099</v>
      </c>
    </row>
    <row r="164" spans="1:2" x14ac:dyDescent="0.35">
      <c r="A164" s="2">
        <v>46001</v>
      </c>
      <c r="B164">
        <v>3252</v>
      </c>
    </row>
    <row r="165" spans="1:2" x14ac:dyDescent="0.35">
      <c r="A165" s="2">
        <v>46002</v>
      </c>
      <c r="B165">
        <v>798</v>
      </c>
    </row>
    <row r="166" spans="1:2" x14ac:dyDescent="0.35">
      <c r="A166" s="2">
        <v>46003</v>
      </c>
      <c r="B166">
        <v>2260</v>
      </c>
    </row>
    <row r="167" spans="1:2" x14ac:dyDescent="0.35">
      <c r="A167" s="2">
        <v>46004</v>
      </c>
      <c r="B167">
        <v>4197</v>
      </c>
    </row>
    <row r="168" spans="1:2" x14ac:dyDescent="0.35">
      <c r="A168" s="2">
        <v>46005</v>
      </c>
      <c r="B168">
        <v>4837</v>
      </c>
    </row>
    <row r="169" spans="1:2" x14ac:dyDescent="0.35">
      <c r="A169" s="2">
        <v>46006</v>
      </c>
      <c r="B169">
        <v>954</v>
      </c>
    </row>
    <row r="170" spans="1:2" x14ac:dyDescent="0.35">
      <c r="A170" s="2">
        <v>46007</v>
      </c>
      <c r="B170">
        <v>3574</v>
      </c>
    </row>
    <row r="171" spans="1:2" x14ac:dyDescent="0.35">
      <c r="A171" s="2">
        <v>46008</v>
      </c>
      <c r="B171">
        <v>1807</v>
      </c>
    </row>
    <row r="172" spans="1:2" x14ac:dyDescent="0.35">
      <c r="A172" s="2">
        <v>46009</v>
      </c>
      <c r="B172">
        <v>2877</v>
      </c>
    </row>
    <row r="173" spans="1:2" x14ac:dyDescent="0.35">
      <c r="A173" s="2">
        <v>46010</v>
      </c>
      <c r="B173">
        <v>1833</v>
      </c>
    </row>
    <row r="174" spans="1:2" x14ac:dyDescent="0.35">
      <c r="A174" s="2">
        <v>46011</v>
      </c>
      <c r="B174">
        <v>3610</v>
      </c>
    </row>
    <row r="175" spans="1:2" x14ac:dyDescent="0.35">
      <c r="A175" s="2">
        <v>46012</v>
      </c>
      <c r="B175">
        <v>302</v>
      </c>
    </row>
    <row r="176" spans="1:2" x14ac:dyDescent="0.35">
      <c r="A176" s="2">
        <v>46013</v>
      </c>
      <c r="B176">
        <v>3355</v>
      </c>
    </row>
    <row r="177" spans="1:2" x14ac:dyDescent="0.35">
      <c r="A177" s="2">
        <v>46014</v>
      </c>
      <c r="B177">
        <v>4318</v>
      </c>
    </row>
    <row r="178" spans="1:2" x14ac:dyDescent="0.35">
      <c r="A178" s="2">
        <v>46015</v>
      </c>
      <c r="B178">
        <v>4596</v>
      </c>
    </row>
    <row r="179" spans="1:2" x14ac:dyDescent="0.35">
      <c r="A179" s="2">
        <v>46016</v>
      </c>
      <c r="B179">
        <v>866</v>
      </c>
    </row>
    <row r="180" spans="1:2" x14ac:dyDescent="0.35">
      <c r="A180" s="2">
        <v>46017</v>
      </c>
      <c r="B180">
        <v>4489</v>
      </c>
    </row>
    <row r="181" spans="1:2" x14ac:dyDescent="0.35">
      <c r="A181" s="2">
        <v>46018</v>
      </c>
      <c r="B181">
        <v>2427</v>
      </c>
    </row>
    <row r="182" spans="1:2" x14ac:dyDescent="0.35">
      <c r="A182" s="2">
        <v>46019</v>
      </c>
      <c r="B182">
        <v>3031</v>
      </c>
    </row>
    <row r="183" spans="1:2" x14ac:dyDescent="0.35">
      <c r="A183" s="2">
        <v>46020</v>
      </c>
      <c r="B183">
        <v>297</v>
      </c>
    </row>
    <row r="184" spans="1:2" x14ac:dyDescent="0.35">
      <c r="A184" s="2">
        <v>46021</v>
      </c>
      <c r="B184">
        <v>2030</v>
      </c>
    </row>
    <row r="185" spans="1:2" x14ac:dyDescent="0.35">
      <c r="A185" s="2">
        <v>46022</v>
      </c>
      <c r="B185">
        <v>3682</v>
      </c>
    </row>
    <row r="186" spans="1:2" x14ac:dyDescent="0.35">
      <c r="A186" s="2">
        <v>46023</v>
      </c>
      <c r="B186">
        <v>708</v>
      </c>
    </row>
    <row r="187" spans="1:2" x14ac:dyDescent="0.35">
      <c r="A187" s="2">
        <v>46024</v>
      </c>
      <c r="B187">
        <v>3372</v>
      </c>
    </row>
    <row r="188" spans="1:2" x14ac:dyDescent="0.35">
      <c r="A188" s="2">
        <v>46025</v>
      </c>
      <c r="B188">
        <v>1247</v>
      </c>
    </row>
    <row r="189" spans="1:2" x14ac:dyDescent="0.35">
      <c r="A189" s="2">
        <v>46026</v>
      </c>
      <c r="B189">
        <v>4382</v>
      </c>
    </row>
    <row r="190" spans="1:2" x14ac:dyDescent="0.35">
      <c r="A190" s="2">
        <v>46027</v>
      </c>
      <c r="B190">
        <v>3497</v>
      </c>
    </row>
    <row r="191" spans="1:2" x14ac:dyDescent="0.35">
      <c r="A191" s="2">
        <v>46028</v>
      </c>
      <c r="B191">
        <v>2611</v>
      </c>
    </row>
    <row r="192" spans="1:2" x14ac:dyDescent="0.35">
      <c r="A192" s="2">
        <v>46029</v>
      </c>
      <c r="B192">
        <v>1894</v>
      </c>
    </row>
    <row r="193" spans="1:2" x14ac:dyDescent="0.35">
      <c r="A193" s="2">
        <v>46030</v>
      </c>
      <c r="B193">
        <v>759</v>
      </c>
    </row>
    <row r="194" spans="1:2" x14ac:dyDescent="0.35">
      <c r="A194" s="2">
        <v>46031</v>
      </c>
      <c r="B194">
        <v>2911</v>
      </c>
    </row>
    <row r="195" spans="1:2" x14ac:dyDescent="0.35">
      <c r="A195" s="2">
        <v>46032</v>
      </c>
      <c r="B195">
        <v>1469</v>
      </c>
    </row>
    <row r="196" spans="1:2" x14ac:dyDescent="0.35">
      <c r="A196" s="2">
        <v>46033</v>
      </c>
      <c r="B196">
        <v>2086</v>
      </c>
    </row>
    <row r="197" spans="1:2" x14ac:dyDescent="0.35">
      <c r="A197" s="2">
        <v>46034</v>
      </c>
      <c r="B197">
        <v>246</v>
      </c>
    </row>
    <row r="198" spans="1:2" x14ac:dyDescent="0.35">
      <c r="A198" s="2">
        <v>46035</v>
      </c>
      <c r="B198">
        <v>3319</v>
      </c>
    </row>
    <row r="199" spans="1:2" x14ac:dyDescent="0.35">
      <c r="A199" s="2">
        <v>46036</v>
      </c>
      <c r="B199">
        <v>3011</v>
      </c>
    </row>
    <row r="200" spans="1:2" x14ac:dyDescent="0.35">
      <c r="A200" s="2">
        <v>46037</v>
      </c>
      <c r="B200">
        <v>1834</v>
      </c>
    </row>
    <row r="201" spans="1:2" x14ac:dyDescent="0.35">
      <c r="A201" s="2">
        <v>46038</v>
      </c>
      <c r="B201">
        <v>1943</v>
      </c>
    </row>
    <row r="202" spans="1:2" x14ac:dyDescent="0.35">
      <c r="A202" s="2">
        <v>46039</v>
      </c>
      <c r="B202">
        <v>588</v>
      </c>
    </row>
    <row r="203" spans="1:2" x14ac:dyDescent="0.35">
      <c r="A203" s="2">
        <v>46040</v>
      </c>
      <c r="B203">
        <v>3076</v>
      </c>
    </row>
    <row r="204" spans="1:2" x14ac:dyDescent="0.35">
      <c r="A204" s="2">
        <v>46041</v>
      </c>
      <c r="B204">
        <v>2059</v>
      </c>
    </row>
    <row r="205" spans="1:2" x14ac:dyDescent="0.35">
      <c r="A205" s="2">
        <v>46042</v>
      </c>
      <c r="B205">
        <v>2485</v>
      </c>
    </row>
    <row r="206" spans="1:2" x14ac:dyDescent="0.35">
      <c r="A206" s="2">
        <v>46043</v>
      </c>
      <c r="B206">
        <v>3019</v>
      </c>
    </row>
    <row r="207" spans="1:2" x14ac:dyDescent="0.35">
      <c r="A207" s="2">
        <v>46044</v>
      </c>
      <c r="B207">
        <v>4836</v>
      </c>
    </row>
    <row r="208" spans="1:2" x14ac:dyDescent="0.35">
      <c r="A208" s="2">
        <v>46045</v>
      </c>
      <c r="B208">
        <v>1902</v>
      </c>
    </row>
    <row r="209" spans="1:2" x14ac:dyDescent="0.35">
      <c r="A209" s="2">
        <v>46046</v>
      </c>
      <c r="B209">
        <v>4161</v>
      </c>
    </row>
    <row r="210" spans="1:2" x14ac:dyDescent="0.35">
      <c r="A210" s="2">
        <v>46047</v>
      </c>
      <c r="B210">
        <v>3469</v>
      </c>
    </row>
    <row r="211" spans="1:2" x14ac:dyDescent="0.35">
      <c r="A211" s="2">
        <v>46048</v>
      </c>
      <c r="B211">
        <v>362</v>
      </c>
    </row>
    <row r="212" spans="1:2" x14ac:dyDescent="0.35">
      <c r="A212" s="2">
        <v>46049</v>
      </c>
      <c r="B212">
        <v>723</v>
      </c>
    </row>
    <row r="213" spans="1:2" x14ac:dyDescent="0.35">
      <c r="A213" s="2">
        <v>46050</v>
      </c>
      <c r="B213">
        <v>1116</v>
      </c>
    </row>
    <row r="214" spans="1:2" x14ac:dyDescent="0.35">
      <c r="A214" s="2">
        <v>46051</v>
      </c>
      <c r="B214">
        <v>3743</v>
      </c>
    </row>
    <row r="215" spans="1:2" x14ac:dyDescent="0.35">
      <c r="A215" s="2">
        <v>46052</v>
      </c>
      <c r="B215">
        <v>2149</v>
      </c>
    </row>
    <row r="216" spans="1:2" x14ac:dyDescent="0.35">
      <c r="A216" s="2">
        <v>46053</v>
      </c>
      <c r="B216">
        <v>3823</v>
      </c>
    </row>
    <row r="217" spans="1:2" x14ac:dyDescent="0.35">
      <c r="A217" s="2">
        <v>46054</v>
      </c>
      <c r="B217">
        <v>4648</v>
      </c>
    </row>
    <row r="218" spans="1:2" x14ac:dyDescent="0.35">
      <c r="A218" s="2">
        <v>46055</v>
      </c>
      <c r="B218">
        <v>3208</v>
      </c>
    </row>
    <row r="219" spans="1:2" x14ac:dyDescent="0.35">
      <c r="A219" s="2">
        <v>46056</v>
      </c>
      <c r="B219">
        <v>4190</v>
      </c>
    </row>
    <row r="220" spans="1:2" x14ac:dyDescent="0.35">
      <c r="A220" s="2">
        <v>46057</v>
      </c>
      <c r="B220">
        <v>2156</v>
      </c>
    </row>
    <row r="221" spans="1:2" x14ac:dyDescent="0.35">
      <c r="A221" s="2">
        <v>46058</v>
      </c>
      <c r="B221">
        <v>3270</v>
      </c>
    </row>
    <row r="222" spans="1:2" x14ac:dyDescent="0.35">
      <c r="A222" s="2">
        <v>46059</v>
      </c>
      <c r="B222">
        <v>1782</v>
      </c>
    </row>
    <row r="223" spans="1:2" x14ac:dyDescent="0.35">
      <c r="A223" s="2">
        <v>46060</v>
      </c>
      <c r="B223">
        <v>2355</v>
      </c>
    </row>
    <row r="224" spans="1:2" x14ac:dyDescent="0.35">
      <c r="A224" s="2">
        <v>46061</v>
      </c>
      <c r="B224">
        <v>1254</v>
      </c>
    </row>
    <row r="225" spans="1:2" x14ac:dyDescent="0.35">
      <c r="A225" s="2">
        <v>46062</v>
      </c>
      <c r="B225">
        <v>4599</v>
      </c>
    </row>
    <row r="226" spans="1:2" x14ac:dyDescent="0.35">
      <c r="A226" s="2">
        <v>46063</v>
      </c>
      <c r="B226">
        <v>3291</v>
      </c>
    </row>
    <row r="227" spans="1:2" x14ac:dyDescent="0.35">
      <c r="A227" s="2">
        <v>46064</v>
      </c>
      <c r="B227">
        <v>1796</v>
      </c>
    </row>
    <row r="228" spans="1:2" x14ac:dyDescent="0.35">
      <c r="A228" s="2">
        <v>46065</v>
      </c>
      <c r="B228">
        <v>4091</v>
      </c>
    </row>
    <row r="229" spans="1:2" x14ac:dyDescent="0.35">
      <c r="A229" s="2">
        <v>46066</v>
      </c>
      <c r="B229">
        <v>4823</v>
      </c>
    </row>
    <row r="230" spans="1:2" x14ac:dyDescent="0.35">
      <c r="A230" s="2">
        <v>46067</v>
      </c>
      <c r="B230">
        <v>4782</v>
      </c>
    </row>
    <row r="231" spans="1:2" x14ac:dyDescent="0.35">
      <c r="A231" s="2">
        <v>46068</v>
      </c>
      <c r="B231">
        <v>1748</v>
      </c>
    </row>
    <row r="232" spans="1:2" x14ac:dyDescent="0.35">
      <c r="A232" s="2">
        <v>46069</v>
      </c>
      <c r="B232">
        <v>1545</v>
      </c>
    </row>
    <row r="233" spans="1:2" x14ac:dyDescent="0.35">
      <c r="A233" s="2">
        <v>46070</v>
      </c>
      <c r="B233">
        <v>4299</v>
      </c>
    </row>
    <row r="234" spans="1:2" x14ac:dyDescent="0.35">
      <c r="A234" s="2">
        <v>46071</v>
      </c>
      <c r="B234">
        <v>4023</v>
      </c>
    </row>
    <row r="235" spans="1:2" x14ac:dyDescent="0.35">
      <c r="A235" s="2">
        <v>46072</v>
      </c>
      <c r="B235">
        <v>353</v>
      </c>
    </row>
    <row r="236" spans="1:2" x14ac:dyDescent="0.35">
      <c r="A236" s="2">
        <v>46073</v>
      </c>
      <c r="B236">
        <v>3283</v>
      </c>
    </row>
    <row r="237" spans="1:2" x14ac:dyDescent="0.35">
      <c r="A237" s="2">
        <v>46074</v>
      </c>
      <c r="B237">
        <v>2657</v>
      </c>
    </row>
    <row r="238" spans="1:2" x14ac:dyDescent="0.35">
      <c r="A238" s="2">
        <v>46075</v>
      </c>
      <c r="B238">
        <v>198</v>
      </c>
    </row>
    <row r="239" spans="1:2" x14ac:dyDescent="0.35">
      <c r="A239" s="2">
        <v>46076</v>
      </c>
      <c r="B239">
        <v>2300</v>
      </c>
    </row>
    <row r="240" spans="1:2" x14ac:dyDescent="0.35">
      <c r="A240" s="2">
        <v>46077</v>
      </c>
      <c r="B240">
        <v>3061</v>
      </c>
    </row>
    <row r="241" spans="1:2" x14ac:dyDescent="0.35">
      <c r="A241" s="2">
        <v>46078</v>
      </c>
      <c r="B241">
        <v>4533</v>
      </c>
    </row>
    <row r="242" spans="1:2" x14ac:dyDescent="0.35">
      <c r="A242" s="2">
        <v>46079</v>
      </c>
      <c r="B242">
        <v>3877</v>
      </c>
    </row>
    <row r="243" spans="1:2" x14ac:dyDescent="0.35">
      <c r="A243" s="2">
        <v>46080</v>
      </c>
      <c r="B243">
        <v>2969</v>
      </c>
    </row>
    <row r="244" spans="1:2" x14ac:dyDescent="0.35">
      <c r="A244" s="2">
        <v>46081</v>
      </c>
      <c r="B244">
        <v>3334</v>
      </c>
    </row>
    <row r="245" spans="1:2" x14ac:dyDescent="0.35">
      <c r="A245" s="2">
        <v>46082</v>
      </c>
      <c r="B245">
        <v>3891</v>
      </c>
    </row>
    <row r="246" spans="1:2" x14ac:dyDescent="0.35">
      <c r="A246" s="2">
        <v>46083</v>
      </c>
      <c r="B246">
        <v>1056</v>
      </c>
    </row>
    <row r="247" spans="1:2" x14ac:dyDescent="0.35">
      <c r="A247" s="2">
        <v>46084</v>
      </c>
      <c r="B247">
        <v>4167</v>
      </c>
    </row>
    <row r="248" spans="1:2" x14ac:dyDescent="0.35">
      <c r="A248" s="2">
        <v>46085</v>
      </c>
      <c r="B248">
        <v>260</v>
      </c>
    </row>
    <row r="249" spans="1:2" x14ac:dyDescent="0.35">
      <c r="A249" s="2">
        <v>46086</v>
      </c>
      <c r="B249">
        <v>4593</v>
      </c>
    </row>
    <row r="250" spans="1:2" x14ac:dyDescent="0.35">
      <c r="A250" s="2">
        <v>46087</v>
      </c>
      <c r="B250">
        <v>1400</v>
      </c>
    </row>
    <row r="251" spans="1:2" x14ac:dyDescent="0.35">
      <c r="A251" s="2">
        <v>46088</v>
      </c>
      <c r="B251">
        <v>4087</v>
      </c>
    </row>
    <row r="252" spans="1:2" x14ac:dyDescent="0.35">
      <c r="A252" s="2">
        <v>46089</v>
      </c>
      <c r="B252">
        <v>1627</v>
      </c>
    </row>
    <row r="253" spans="1:2" x14ac:dyDescent="0.35">
      <c r="A253" s="2">
        <v>46090</v>
      </c>
      <c r="B253">
        <v>1318</v>
      </c>
    </row>
    <row r="254" spans="1:2" x14ac:dyDescent="0.35">
      <c r="A254" s="2">
        <v>46091</v>
      </c>
      <c r="B254">
        <v>4596</v>
      </c>
    </row>
    <row r="255" spans="1:2" x14ac:dyDescent="0.35">
      <c r="A255" s="2">
        <v>46092</v>
      </c>
      <c r="B255">
        <v>4835</v>
      </c>
    </row>
    <row r="256" spans="1:2" x14ac:dyDescent="0.35">
      <c r="A256" s="2">
        <v>46093</v>
      </c>
      <c r="B256">
        <v>3204</v>
      </c>
    </row>
    <row r="257" spans="1:2" x14ac:dyDescent="0.35">
      <c r="A257" s="2">
        <v>46094</v>
      </c>
      <c r="B257">
        <v>2835</v>
      </c>
    </row>
    <row r="258" spans="1:2" x14ac:dyDescent="0.35">
      <c r="A258" s="2">
        <v>46095</v>
      </c>
      <c r="B258">
        <v>4655</v>
      </c>
    </row>
    <row r="259" spans="1:2" x14ac:dyDescent="0.35">
      <c r="A259" s="2">
        <v>46096</v>
      </c>
      <c r="B259">
        <v>1054</v>
      </c>
    </row>
    <row r="260" spans="1:2" x14ac:dyDescent="0.35">
      <c r="A260" s="2">
        <v>46097</v>
      </c>
      <c r="B260">
        <v>4665</v>
      </c>
    </row>
    <row r="261" spans="1:2" x14ac:dyDescent="0.35">
      <c r="A261" s="2">
        <v>46098</v>
      </c>
      <c r="B261">
        <v>3546</v>
      </c>
    </row>
    <row r="262" spans="1:2" x14ac:dyDescent="0.35">
      <c r="A262" s="2">
        <v>46099</v>
      </c>
      <c r="B262">
        <v>1145</v>
      </c>
    </row>
    <row r="263" spans="1:2" x14ac:dyDescent="0.35">
      <c r="A263" s="2">
        <v>46100</v>
      </c>
      <c r="B263">
        <v>1793</v>
      </c>
    </row>
    <row r="264" spans="1:2" x14ac:dyDescent="0.35">
      <c r="A264" s="2">
        <v>46101</v>
      </c>
      <c r="B264">
        <v>3536</v>
      </c>
    </row>
    <row r="265" spans="1:2" x14ac:dyDescent="0.35">
      <c r="A265" s="2">
        <v>46102</v>
      </c>
      <c r="B265">
        <v>662</v>
      </c>
    </row>
    <row r="266" spans="1:2" x14ac:dyDescent="0.35">
      <c r="A266" s="2">
        <v>46103</v>
      </c>
      <c r="B266">
        <v>2585</v>
      </c>
    </row>
    <row r="267" spans="1:2" x14ac:dyDescent="0.35">
      <c r="A267" s="2">
        <v>46104</v>
      </c>
      <c r="B267">
        <v>3454</v>
      </c>
    </row>
    <row r="268" spans="1:2" x14ac:dyDescent="0.35">
      <c r="A268" s="2">
        <v>46105</v>
      </c>
      <c r="B268">
        <v>325</v>
      </c>
    </row>
    <row r="269" spans="1:2" x14ac:dyDescent="0.35">
      <c r="A269" s="2">
        <v>46106</v>
      </c>
      <c r="B269">
        <v>4993</v>
      </c>
    </row>
    <row r="270" spans="1:2" x14ac:dyDescent="0.35">
      <c r="A270" s="2">
        <v>46107</v>
      </c>
      <c r="B270">
        <v>1059</v>
      </c>
    </row>
    <row r="271" spans="1:2" x14ac:dyDescent="0.35">
      <c r="A271" s="2">
        <v>46108</v>
      </c>
      <c r="B271">
        <v>4648</v>
      </c>
    </row>
    <row r="272" spans="1:2" x14ac:dyDescent="0.35">
      <c r="A272" s="2">
        <v>46109</v>
      </c>
      <c r="B272">
        <v>3167</v>
      </c>
    </row>
    <row r="273" spans="1:2" x14ac:dyDescent="0.35">
      <c r="A273" s="2">
        <v>46110</v>
      </c>
      <c r="B273">
        <v>915</v>
      </c>
    </row>
    <row r="274" spans="1:2" x14ac:dyDescent="0.35">
      <c r="A274" s="2">
        <v>46111</v>
      </c>
      <c r="B274">
        <v>4854</v>
      </c>
    </row>
    <row r="275" spans="1:2" x14ac:dyDescent="0.35">
      <c r="A275" s="2">
        <v>46112</v>
      </c>
      <c r="B275">
        <v>4742</v>
      </c>
    </row>
    <row r="276" spans="1:2" x14ac:dyDescent="0.35">
      <c r="A276" s="2">
        <v>46113</v>
      </c>
      <c r="B276">
        <v>3220</v>
      </c>
    </row>
    <row r="277" spans="1:2" x14ac:dyDescent="0.35">
      <c r="A277" s="2">
        <v>46114</v>
      </c>
      <c r="B277">
        <v>116</v>
      </c>
    </row>
    <row r="278" spans="1:2" x14ac:dyDescent="0.35">
      <c r="A278" s="2">
        <v>46115</v>
      </c>
      <c r="B278">
        <v>1343</v>
      </c>
    </row>
    <row r="279" spans="1:2" x14ac:dyDescent="0.35">
      <c r="A279" s="2">
        <v>46116</v>
      </c>
      <c r="B279">
        <v>2305</v>
      </c>
    </row>
    <row r="280" spans="1:2" x14ac:dyDescent="0.35">
      <c r="A280" s="2">
        <v>46117</v>
      </c>
      <c r="B280">
        <v>2624</v>
      </c>
    </row>
    <row r="281" spans="1:2" x14ac:dyDescent="0.35">
      <c r="A281" s="2">
        <v>46118</v>
      </c>
      <c r="B281">
        <v>1169</v>
      </c>
    </row>
    <row r="282" spans="1:2" x14ac:dyDescent="0.35">
      <c r="A282" s="2">
        <v>46119</v>
      </c>
      <c r="B282">
        <v>3544</v>
      </c>
    </row>
    <row r="283" spans="1:2" x14ac:dyDescent="0.35">
      <c r="A283" s="2">
        <v>46120</v>
      </c>
      <c r="B283">
        <v>2665</v>
      </c>
    </row>
    <row r="284" spans="1:2" x14ac:dyDescent="0.35">
      <c r="A284" s="2">
        <v>46121</v>
      </c>
      <c r="B284">
        <v>1160</v>
      </c>
    </row>
    <row r="285" spans="1:2" x14ac:dyDescent="0.35">
      <c r="A285" s="2">
        <v>46122</v>
      </c>
      <c r="B285">
        <v>2427</v>
      </c>
    </row>
    <row r="286" spans="1:2" x14ac:dyDescent="0.35">
      <c r="A286" s="2">
        <v>46123</v>
      </c>
      <c r="B286">
        <v>3520</v>
      </c>
    </row>
    <row r="287" spans="1:2" x14ac:dyDescent="0.35">
      <c r="A287" s="2">
        <v>46124</v>
      </c>
      <c r="B287">
        <v>401</v>
      </c>
    </row>
    <row r="288" spans="1:2" x14ac:dyDescent="0.35">
      <c r="A288" s="2">
        <v>46125</v>
      </c>
      <c r="B288">
        <v>4376</v>
      </c>
    </row>
    <row r="289" spans="1:2" x14ac:dyDescent="0.35">
      <c r="A289" s="2">
        <v>46126</v>
      </c>
      <c r="B289">
        <v>706</v>
      </c>
    </row>
    <row r="290" spans="1:2" x14ac:dyDescent="0.35">
      <c r="A290" s="2">
        <v>46127</v>
      </c>
      <c r="B290">
        <v>3270</v>
      </c>
    </row>
    <row r="291" spans="1:2" x14ac:dyDescent="0.35">
      <c r="A291" s="2">
        <v>46128</v>
      </c>
      <c r="B291">
        <v>799</v>
      </c>
    </row>
    <row r="292" spans="1:2" x14ac:dyDescent="0.35">
      <c r="A292" s="2">
        <v>46129</v>
      </c>
      <c r="B292">
        <v>1239</v>
      </c>
    </row>
    <row r="293" spans="1:2" x14ac:dyDescent="0.35">
      <c r="A293" s="2">
        <v>46130</v>
      </c>
      <c r="B293">
        <v>290</v>
      </c>
    </row>
    <row r="294" spans="1:2" x14ac:dyDescent="0.35">
      <c r="A294" s="2">
        <v>46131</v>
      </c>
      <c r="B294">
        <v>2400</v>
      </c>
    </row>
    <row r="295" spans="1:2" x14ac:dyDescent="0.35">
      <c r="A295" s="2">
        <v>46132</v>
      </c>
      <c r="B295">
        <v>1080</v>
      </c>
    </row>
    <row r="296" spans="1:2" x14ac:dyDescent="0.35">
      <c r="A296" s="2">
        <v>46133</v>
      </c>
      <c r="B296">
        <v>3075</v>
      </c>
    </row>
    <row r="297" spans="1:2" x14ac:dyDescent="0.35">
      <c r="A297" s="2">
        <v>46134</v>
      </c>
      <c r="B297">
        <v>1284</v>
      </c>
    </row>
    <row r="298" spans="1:2" x14ac:dyDescent="0.35">
      <c r="A298" s="2">
        <v>46135</v>
      </c>
      <c r="B298">
        <v>3427</v>
      </c>
    </row>
    <row r="299" spans="1:2" x14ac:dyDescent="0.35">
      <c r="A299" s="2">
        <v>46136</v>
      </c>
      <c r="B299">
        <v>3494</v>
      </c>
    </row>
    <row r="300" spans="1:2" x14ac:dyDescent="0.35">
      <c r="A300" s="2">
        <v>46137</v>
      </c>
      <c r="B300">
        <v>227</v>
      </c>
    </row>
    <row r="301" spans="1:2" x14ac:dyDescent="0.35">
      <c r="A301" s="2">
        <v>46138</v>
      </c>
      <c r="B301">
        <v>2165</v>
      </c>
    </row>
    <row r="302" spans="1:2" x14ac:dyDescent="0.35">
      <c r="A302" s="2">
        <v>46139</v>
      </c>
      <c r="B302">
        <v>1916</v>
      </c>
    </row>
    <row r="303" spans="1:2" x14ac:dyDescent="0.35">
      <c r="A303" s="2">
        <v>46140</v>
      </c>
      <c r="B303">
        <v>669</v>
      </c>
    </row>
    <row r="304" spans="1:2" x14ac:dyDescent="0.35">
      <c r="A304" s="2">
        <v>46141</v>
      </c>
      <c r="B304">
        <v>1995</v>
      </c>
    </row>
    <row r="305" spans="1:2" x14ac:dyDescent="0.35">
      <c r="A305" s="2">
        <v>46142</v>
      </c>
      <c r="B305">
        <v>2833</v>
      </c>
    </row>
    <row r="306" spans="1:2" x14ac:dyDescent="0.35">
      <c r="A306" s="2">
        <v>46143</v>
      </c>
      <c r="B306">
        <v>3963</v>
      </c>
    </row>
    <row r="307" spans="1:2" x14ac:dyDescent="0.35">
      <c r="A307" s="2">
        <v>46144</v>
      </c>
      <c r="B307">
        <v>4821</v>
      </c>
    </row>
    <row r="308" spans="1:2" x14ac:dyDescent="0.35">
      <c r="A308" s="2">
        <v>46145</v>
      </c>
      <c r="B308">
        <v>4114</v>
      </c>
    </row>
    <row r="309" spans="1:2" x14ac:dyDescent="0.35">
      <c r="A309" s="2">
        <v>46146</v>
      </c>
      <c r="B309">
        <v>3001</v>
      </c>
    </row>
    <row r="310" spans="1:2" x14ac:dyDescent="0.35">
      <c r="A310" s="2">
        <v>46147</v>
      </c>
      <c r="B310">
        <v>1786</v>
      </c>
    </row>
    <row r="311" spans="1:2" x14ac:dyDescent="0.35">
      <c r="A311" s="2">
        <v>46148</v>
      </c>
      <c r="B311">
        <v>3109</v>
      </c>
    </row>
    <row r="312" spans="1:2" x14ac:dyDescent="0.35">
      <c r="A312" s="2">
        <v>46149</v>
      </c>
      <c r="B312">
        <v>254</v>
      </c>
    </row>
    <row r="313" spans="1:2" x14ac:dyDescent="0.35">
      <c r="A313" s="2">
        <v>46150</v>
      </c>
      <c r="B313">
        <v>2637</v>
      </c>
    </row>
    <row r="314" spans="1:2" x14ac:dyDescent="0.35">
      <c r="A314" s="2">
        <v>46151</v>
      </c>
      <c r="B314">
        <v>1509</v>
      </c>
    </row>
    <row r="315" spans="1:2" x14ac:dyDescent="0.35">
      <c r="A315" s="2">
        <v>46152</v>
      </c>
      <c r="B315">
        <v>4157</v>
      </c>
    </row>
    <row r="316" spans="1:2" x14ac:dyDescent="0.35">
      <c r="A316" s="2">
        <v>46153</v>
      </c>
      <c r="B316">
        <v>884</v>
      </c>
    </row>
    <row r="317" spans="1:2" x14ac:dyDescent="0.35">
      <c r="A317" s="2">
        <v>46154</v>
      </c>
      <c r="B317">
        <v>3275</v>
      </c>
    </row>
    <row r="318" spans="1:2" x14ac:dyDescent="0.35">
      <c r="A318" s="2">
        <v>46155</v>
      </c>
      <c r="B318">
        <v>4441</v>
      </c>
    </row>
    <row r="319" spans="1:2" x14ac:dyDescent="0.35">
      <c r="A319" s="2">
        <v>46156</v>
      </c>
      <c r="B319">
        <v>2906</v>
      </c>
    </row>
    <row r="320" spans="1:2" x14ac:dyDescent="0.35">
      <c r="A320" s="2">
        <v>46157</v>
      </c>
      <c r="B320">
        <v>637</v>
      </c>
    </row>
    <row r="321" spans="1:2" x14ac:dyDescent="0.35">
      <c r="A321" s="2">
        <v>46158</v>
      </c>
      <c r="B321">
        <v>1941</v>
      </c>
    </row>
    <row r="322" spans="1:2" x14ac:dyDescent="0.35">
      <c r="A322" s="2">
        <v>46159</v>
      </c>
      <c r="B322">
        <v>2555</v>
      </c>
    </row>
    <row r="323" spans="1:2" x14ac:dyDescent="0.35">
      <c r="A323" s="2">
        <v>46160</v>
      </c>
      <c r="B323">
        <v>624</v>
      </c>
    </row>
    <row r="324" spans="1:2" x14ac:dyDescent="0.35">
      <c r="A324" s="2">
        <v>46161</v>
      </c>
      <c r="B324">
        <v>3050</v>
      </c>
    </row>
    <row r="325" spans="1:2" x14ac:dyDescent="0.35">
      <c r="A325" s="2">
        <v>46162</v>
      </c>
      <c r="B325">
        <v>4231</v>
      </c>
    </row>
    <row r="326" spans="1:2" x14ac:dyDescent="0.35">
      <c r="A326" s="2">
        <v>46163</v>
      </c>
      <c r="B326">
        <v>4880</v>
      </c>
    </row>
    <row r="327" spans="1:2" x14ac:dyDescent="0.35">
      <c r="A327" s="2">
        <v>46164</v>
      </c>
      <c r="B327">
        <v>4215</v>
      </c>
    </row>
    <row r="328" spans="1:2" x14ac:dyDescent="0.35">
      <c r="A328" s="2">
        <v>46165</v>
      </c>
      <c r="B328">
        <v>2468</v>
      </c>
    </row>
    <row r="329" spans="1:2" x14ac:dyDescent="0.35">
      <c r="A329" s="2">
        <v>46166</v>
      </c>
      <c r="B329">
        <v>3947</v>
      </c>
    </row>
    <row r="330" spans="1:2" x14ac:dyDescent="0.35">
      <c r="A330" s="2">
        <v>46167</v>
      </c>
      <c r="B330">
        <v>4595</v>
      </c>
    </row>
    <row r="331" spans="1:2" x14ac:dyDescent="0.35">
      <c r="A331" s="2">
        <v>46168</v>
      </c>
      <c r="B331">
        <v>2801</v>
      </c>
    </row>
    <row r="332" spans="1:2" x14ac:dyDescent="0.35">
      <c r="A332" s="2">
        <v>46169</v>
      </c>
      <c r="B332">
        <v>1071</v>
      </c>
    </row>
    <row r="333" spans="1:2" x14ac:dyDescent="0.35">
      <c r="A333" s="2">
        <v>46170</v>
      </c>
      <c r="B333">
        <v>1266</v>
      </c>
    </row>
    <row r="334" spans="1:2" x14ac:dyDescent="0.35">
      <c r="A334" s="2">
        <v>46171</v>
      </c>
      <c r="B334">
        <v>2874</v>
      </c>
    </row>
    <row r="335" spans="1:2" x14ac:dyDescent="0.35">
      <c r="A335" s="2">
        <v>46172</v>
      </c>
      <c r="B335">
        <v>2082</v>
      </c>
    </row>
    <row r="336" spans="1:2" x14ac:dyDescent="0.35">
      <c r="A336" s="2">
        <v>46173</v>
      </c>
      <c r="B336">
        <v>953</v>
      </c>
    </row>
    <row r="337" spans="1:2" x14ac:dyDescent="0.35">
      <c r="A337" s="2">
        <v>46174</v>
      </c>
      <c r="B337">
        <v>4246</v>
      </c>
    </row>
    <row r="338" spans="1:2" x14ac:dyDescent="0.35">
      <c r="A338" s="2">
        <v>46175</v>
      </c>
      <c r="B338">
        <v>3836</v>
      </c>
    </row>
    <row r="339" spans="1:2" x14ac:dyDescent="0.35">
      <c r="A339" s="2">
        <v>46176</v>
      </c>
      <c r="B339">
        <v>3869</v>
      </c>
    </row>
    <row r="340" spans="1:2" x14ac:dyDescent="0.35">
      <c r="A340" s="2">
        <v>46177</v>
      </c>
      <c r="B340">
        <v>674</v>
      </c>
    </row>
    <row r="341" spans="1:2" x14ac:dyDescent="0.35">
      <c r="A341" s="2">
        <v>46178</v>
      </c>
      <c r="B341">
        <v>3361</v>
      </c>
    </row>
    <row r="342" spans="1:2" x14ac:dyDescent="0.35">
      <c r="A342" s="2">
        <v>46179</v>
      </c>
      <c r="B342">
        <v>1248</v>
      </c>
    </row>
    <row r="343" spans="1:2" x14ac:dyDescent="0.35">
      <c r="A343" s="2">
        <v>46180</v>
      </c>
      <c r="B343">
        <v>1815</v>
      </c>
    </row>
    <row r="344" spans="1:2" x14ac:dyDescent="0.35">
      <c r="A344" s="2">
        <v>46181</v>
      </c>
      <c r="B344">
        <v>4877</v>
      </c>
    </row>
    <row r="345" spans="1:2" x14ac:dyDescent="0.35">
      <c r="A345" s="2">
        <v>46182</v>
      </c>
      <c r="B345">
        <v>3954</v>
      </c>
    </row>
    <row r="346" spans="1:2" x14ac:dyDescent="0.35">
      <c r="A346" s="2">
        <v>46183</v>
      </c>
      <c r="B346">
        <v>2591</v>
      </c>
    </row>
    <row r="347" spans="1:2" x14ac:dyDescent="0.35">
      <c r="A347" s="2">
        <v>46184</v>
      </c>
      <c r="B347">
        <v>2760</v>
      </c>
    </row>
    <row r="348" spans="1:2" x14ac:dyDescent="0.35">
      <c r="A348" s="2">
        <v>46185</v>
      </c>
      <c r="B348">
        <v>3224</v>
      </c>
    </row>
    <row r="349" spans="1:2" x14ac:dyDescent="0.35">
      <c r="A349" s="2">
        <v>46186</v>
      </c>
      <c r="B349">
        <v>3151</v>
      </c>
    </row>
    <row r="350" spans="1:2" x14ac:dyDescent="0.35">
      <c r="A350" s="2">
        <v>46187</v>
      </c>
      <c r="B350">
        <v>104</v>
      </c>
    </row>
    <row r="351" spans="1:2" x14ac:dyDescent="0.35">
      <c r="A351" s="2">
        <v>46188</v>
      </c>
      <c r="B351">
        <v>4969</v>
      </c>
    </row>
    <row r="352" spans="1:2" x14ac:dyDescent="0.35">
      <c r="A352" s="2">
        <v>46189</v>
      </c>
      <c r="B352">
        <v>976</v>
      </c>
    </row>
    <row r="353" spans="1:2" x14ac:dyDescent="0.35">
      <c r="A353" s="2">
        <v>46190</v>
      </c>
      <c r="B353">
        <v>1091</v>
      </c>
    </row>
    <row r="354" spans="1:2" x14ac:dyDescent="0.35">
      <c r="A354" s="2">
        <v>46191</v>
      </c>
      <c r="B354">
        <v>4242</v>
      </c>
    </row>
    <row r="355" spans="1:2" x14ac:dyDescent="0.35">
      <c r="A355" s="2">
        <v>46192</v>
      </c>
      <c r="B355">
        <v>4464</v>
      </c>
    </row>
    <row r="356" spans="1:2" x14ac:dyDescent="0.35">
      <c r="A356" s="2">
        <v>46193</v>
      </c>
      <c r="B356">
        <v>4565</v>
      </c>
    </row>
    <row r="357" spans="1:2" x14ac:dyDescent="0.35">
      <c r="A357" s="2">
        <v>46194</v>
      </c>
      <c r="B357">
        <v>735</v>
      </c>
    </row>
    <row r="358" spans="1:2" x14ac:dyDescent="0.35">
      <c r="A358" s="2">
        <v>46195</v>
      </c>
      <c r="B358">
        <v>1793</v>
      </c>
    </row>
    <row r="359" spans="1:2" x14ac:dyDescent="0.35">
      <c r="A359" s="2">
        <v>46196</v>
      </c>
      <c r="B359">
        <v>1782</v>
      </c>
    </row>
    <row r="360" spans="1:2" x14ac:dyDescent="0.35">
      <c r="A360" s="2">
        <v>46197</v>
      </c>
      <c r="B360">
        <v>4852</v>
      </c>
    </row>
    <row r="361" spans="1:2" x14ac:dyDescent="0.35">
      <c r="A361" s="2">
        <v>46198</v>
      </c>
      <c r="B361">
        <v>219</v>
      </c>
    </row>
    <row r="362" spans="1:2" x14ac:dyDescent="0.35">
      <c r="A362" s="2">
        <v>46199</v>
      </c>
      <c r="B362">
        <v>930</v>
      </c>
    </row>
    <row r="363" spans="1:2" x14ac:dyDescent="0.35">
      <c r="A363" s="2">
        <v>46200</v>
      </c>
      <c r="B363">
        <v>3775</v>
      </c>
    </row>
    <row r="364" spans="1:2" x14ac:dyDescent="0.35">
      <c r="A364" s="2">
        <v>46201</v>
      </c>
      <c r="B364">
        <v>1469</v>
      </c>
    </row>
    <row r="365" spans="1:2" x14ac:dyDescent="0.35">
      <c r="A365" s="2">
        <v>46202</v>
      </c>
      <c r="B365">
        <v>840</v>
      </c>
    </row>
    <row r="366" spans="1:2" x14ac:dyDescent="0.35">
      <c r="A366" s="2">
        <v>46203</v>
      </c>
      <c r="B366">
        <v>216</v>
      </c>
    </row>
    <row r="367" spans="1:2" x14ac:dyDescent="0.35">
      <c r="A367" s="2">
        <v>46204</v>
      </c>
      <c r="B367">
        <v>2938</v>
      </c>
    </row>
    <row r="368" spans="1:2" x14ac:dyDescent="0.35">
      <c r="A368" s="2">
        <v>46205</v>
      </c>
      <c r="B368">
        <v>1250</v>
      </c>
    </row>
    <row r="369" spans="1:2" x14ac:dyDescent="0.35">
      <c r="A369" s="2">
        <v>46206</v>
      </c>
      <c r="B369">
        <v>2031</v>
      </c>
    </row>
    <row r="370" spans="1:2" x14ac:dyDescent="0.35">
      <c r="A370" s="2">
        <v>46207</v>
      </c>
      <c r="B370">
        <v>1112</v>
      </c>
    </row>
    <row r="371" spans="1:2" x14ac:dyDescent="0.35">
      <c r="A371" s="2">
        <v>46208</v>
      </c>
      <c r="B371">
        <v>1764</v>
      </c>
    </row>
    <row r="372" spans="1:2" x14ac:dyDescent="0.35">
      <c r="A372" s="2">
        <v>46209</v>
      </c>
      <c r="B372">
        <v>1181</v>
      </c>
    </row>
    <row r="373" spans="1:2" x14ac:dyDescent="0.35">
      <c r="A373" s="2">
        <v>46210</v>
      </c>
      <c r="B373">
        <v>4829</v>
      </c>
    </row>
    <row r="374" spans="1:2" x14ac:dyDescent="0.35">
      <c r="A374" s="2">
        <v>46211</v>
      </c>
      <c r="B374">
        <v>612</v>
      </c>
    </row>
    <row r="375" spans="1:2" x14ac:dyDescent="0.35">
      <c r="A375" s="2">
        <v>46212</v>
      </c>
      <c r="B375">
        <v>2949</v>
      </c>
    </row>
    <row r="376" spans="1:2" x14ac:dyDescent="0.35">
      <c r="A376" s="2">
        <v>46213</v>
      </c>
      <c r="B376">
        <v>659</v>
      </c>
    </row>
    <row r="377" spans="1:2" x14ac:dyDescent="0.35">
      <c r="A377" s="2">
        <v>46214</v>
      </c>
      <c r="B377">
        <v>3772</v>
      </c>
    </row>
    <row r="378" spans="1:2" x14ac:dyDescent="0.35">
      <c r="A378" s="2">
        <v>46215</v>
      </c>
      <c r="B378">
        <v>4683</v>
      </c>
    </row>
    <row r="379" spans="1:2" x14ac:dyDescent="0.35">
      <c r="A379" s="2">
        <v>46216</v>
      </c>
      <c r="B379">
        <v>3443</v>
      </c>
    </row>
    <row r="380" spans="1:2" x14ac:dyDescent="0.35">
      <c r="A380" s="2">
        <v>46217</v>
      </c>
      <c r="B380">
        <v>4170</v>
      </c>
    </row>
    <row r="381" spans="1:2" x14ac:dyDescent="0.35">
      <c r="A381" s="2">
        <v>46218</v>
      </c>
      <c r="B381">
        <v>4899</v>
      </c>
    </row>
    <row r="382" spans="1:2" x14ac:dyDescent="0.35">
      <c r="A382" s="2">
        <v>46219</v>
      </c>
      <c r="B382">
        <v>1570</v>
      </c>
    </row>
    <row r="383" spans="1:2" x14ac:dyDescent="0.35">
      <c r="A383" s="2">
        <v>46220</v>
      </c>
      <c r="B383">
        <v>680</v>
      </c>
    </row>
    <row r="384" spans="1:2" x14ac:dyDescent="0.35">
      <c r="A384" s="2">
        <v>46221</v>
      </c>
      <c r="B384">
        <v>2394</v>
      </c>
    </row>
    <row r="385" spans="1:2" x14ac:dyDescent="0.35">
      <c r="A385" s="2">
        <v>46222</v>
      </c>
      <c r="B385">
        <v>3247</v>
      </c>
    </row>
    <row r="386" spans="1:2" x14ac:dyDescent="0.35">
      <c r="A386" s="2">
        <v>46223</v>
      </c>
      <c r="B386">
        <v>4349</v>
      </c>
    </row>
    <row r="387" spans="1:2" x14ac:dyDescent="0.35">
      <c r="A387" s="2">
        <v>46224</v>
      </c>
      <c r="B387">
        <v>1779</v>
      </c>
    </row>
    <row r="388" spans="1:2" x14ac:dyDescent="0.35">
      <c r="A388" s="2">
        <v>46225</v>
      </c>
      <c r="B388">
        <v>3606</v>
      </c>
    </row>
    <row r="389" spans="1:2" x14ac:dyDescent="0.35">
      <c r="A389" s="2">
        <v>46226</v>
      </c>
      <c r="B389">
        <v>2844</v>
      </c>
    </row>
    <row r="390" spans="1:2" x14ac:dyDescent="0.35">
      <c r="A390" s="2">
        <v>46227</v>
      </c>
      <c r="B390">
        <v>3456</v>
      </c>
    </row>
    <row r="391" spans="1:2" x14ac:dyDescent="0.35">
      <c r="A391" s="2">
        <v>46228</v>
      </c>
      <c r="B391">
        <v>4145</v>
      </c>
    </row>
    <row r="392" spans="1:2" x14ac:dyDescent="0.35">
      <c r="A392" s="2">
        <v>46229</v>
      </c>
      <c r="B392">
        <v>1343</v>
      </c>
    </row>
    <row r="393" spans="1:2" x14ac:dyDescent="0.35">
      <c r="A393" s="2">
        <v>46230</v>
      </c>
      <c r="B393">
        <v>3218</v>
      </c>
    </row>
    <row r="394" spans="1:2" x14ac:dyDescent="0.35">
      <c r="A394" s="2">
        <v>46231</v>
      </c>
      <c r="B394">
        <v>2241</v>
      </c>
    </row>
    <row r="395" spans="1:2" x14ac:dyDescent="0.35">
      <c r="A395" s="2">
        <v>46232</v>
      </c>
      <c r="B395">
        <v>3159</v>
      </c>
    </row>
    <row r="396" spans="1:2" x14ac:dyDescent="0.35">
      <c r="A396" s="2">
        <v>46233</v>
      </c>
      <c r="B396">
        <v>4648</v>
      </c>
    </row>
    <row r="397" spans="1:2" x14ac:dyDescent="0.35">
      <c r="A397" s="2">
        <v>46234</v>
      </c>
      <c r="B397">
        <v>3059</v>
      </c>
    </row>
    <row r="398" spans="1:2" x14ac:dyDescent="0.35">
      <c r="A398" s="2">
        <v>46235</v>
      </c>
      <c r="B398">
        <v>2365</v>
      </c>
    </row>
    <row r="399" spans="1:2" x14ac:dyDescent="0.35">
      <c r="A399" s="2">
        <v>46236</v>
      </c>
      <c r="B399">
        <v>2579</v>
      </c>
    </row>
    <row r="400" spans="1:2" x14ac:dyDescent="0.35">
      <c r="A400" s="2">
        <v>46237</v>
      </c>
      <c r="B400">
        <v>4746</v>
      </c>
    </row>
    <row r="401" spans="1:2" x14ac:dyDescent="0.35">
      <c r="A401" s="2">
        <v>46238</v>
      </c>
      <c r="B401">
        <v>1735</v>
      </c>
    </row>
    <row r="402" spans="1:2" x14ac:dyDescent="0.35">
      <c r="A402" s="2">
        <v>46239</v>
      </c>
      <c r="B402">
        <v>1857</v>
      </c>
    </row>
    <row r="403" spans="1:2" x14ac:dyDescent="0.35">
      <c r="A403" s="2">
        <v>46240</v>
      </c>
      <c r="B403">
        <v>4552</v>
      </c>
    </row>
    <row r="404" spans="1:2" x14ac:dyDescent="0.35">
      <c r="A404" s="2">
        <v>46241</v>
      </c>
      <c r="B404">
        <v>2170</v>
      </c>
    </row>
    <row r="405" spans="1:2" x14ac:dyDescent="0.35">
      <c r="A405" s="2">
        <v>46242</v>
      </c>
      <c r="B405">
        <v>2949</v>
      </c>
    </row>
    <row r="406" spans="1:2" x14ac:dyDescent="0.35">
      <c r="A406" s="2">
        <v>46243</v>
      </c>
      <c r="B406">
        <v>3351</v>
      </c>
    </row>
    <row r="407" spans="1:2" x14ac:dyDescent="0.35">
      <c r="A407" s="2">
        <v>46244</v>
      </c>
      <c r="B407">
        <v>3830</v>
      </c>
    </row>
    <row r="408" spans="1:2" x14ac:dyDescent="0.35">
      <c r="A408" s="2">
        <v>46245</v>
      </c>
      <c r="B408">
        <v>2589</v>
      </c>
    </row>
    <row r="409" spans="1:2" x14ac:dyDescent="0.35">
      <c r="A409" s="2">
        <v>46246</v>
      </c>
      <c r="B409">
        <v>1731</v>
      </c>
    </row>
    <row r="410" spans="1:2" x14ac:dyDescent="0.35">
      <c r="A410" s="2">
        <v>46247</v>
      </c>
      <c r="B410">
        <v>2916</v>
      </c>
    </row>
    <row r="411" spans="1:2" x14ac:dyDescent="0.35">
      <c r="A411" s="2">
        <v>46248</v>
      </c>
      <c r="B411">
        <v>1115</v>
      </c>
    </row>
    <row r="412" spans="1:2" x14ac:dyDescent="0.35">
      <c r="A412" s="2">
        <v>46249</v>
      </c>
      <c r="B412">
        <v>1448</v>
      </c>
    </row>
    <row r="413" spans="1:2" x14ac:dyDescent="0.35">
      <c r="A413" s="2">
        <v>46250</v>
      </c>
      <c r="B413">
        <v>4711</v>
      </c>
    </row>
    <row r="414" spans="1:2" x14ac:dyDescent="0.35">
      <c r="A414" s="2">
        <v>46251</v>
      </c>
      <c r="B414">
        <v>3187</v>
      </c>
    </row>
    <row r="415" spans="1:2" x14ac:dyDescent="0.35">
      <c r="A415" s="2">
        <v>46252</v>
      </c>
      <c r="B415">
        <v>2939</v>
      </c>
    </row>
    <row r="416" spans="1:2" x14ac:dyDescent="0.35">
      <c r="A416" s="2">
        <v>46253</v>
      </c>
      <c r="B416">
        <v>435</v>
      </c>
    </row>
    <row r="417" spans="1:2" x14ac:dyDescent="0.35">
      <c r="A417" s="2">
        <v>46254</v>
      </c>
      <c r="B417">
        <v>4692</v>
      </c>
    </row>
    <row r="418" spans="1:2" x14ac:dyDescent="0.35">
      <c r="A418" s="2">
        <v>46255</v>
      </c>
      <c r="B418">
        <v>995</v>
      </c>
    </row>
    <row r="419" spans="1:2" x14ac:dyDescent="0.35">
      <c r="A419" s="2">
        <v>46256</v>
      </c>
      <c r="B419">
        <v>3646</v>
      </c>
    </row>
    <row r="420" spans="1:2" x14ac:dyDescent="0.35">
      <c r="A420" s="2">
        <v>46257</v>
      </c>
      <c r="B420">
        <v>951</v>
      </c>
    </row>
    <row r="421" spans="1:2" x14ac:dyDescent="0.35">
      <c r="A421" s="2">
        <v>46258</v>
      </c>
      <c r="B421">
        <v>1787</v>
      </c>
    </row>
    <row r="422" spans="1:2" x14ac:dyDescent="0.35">
      <c r="A422" s="2">
        <v>46259</v>
      </c>
      <c r="B422">
        <v>2031</v>
      </c>
    </row>
    <row r="423" spans="1:2" x14ac:dyDescent="0.35">
      <c r="A423" s="2">
        <v>46260</v>
      </c>
      <c r="B423">
        <v>3846</v>
      </c>
    </row>
    <row r="424" spans="1:2" x14ac:dyDescent="0.35">
      <c r="A424" s="2">
        <v>46261</v>
      </c>
      <c r="B424">
        <v>2527</v>
      </c>
    </row>
    <row r="425" spans="1:2" x14ac:dyDescent="0.35">
      <c r="A425" s="2">
        <v>46262</v>
      </c>
      <c r="B425">
        <v>1668</v>
      </c>
    </row>
    <row r="426" spans="1:2" x14ac:dyDescent="0.35">
      <c r="A426" s="2">
        <v>46263</v>
      </c>
      <c r="B426">
        <v>4100</v>
      </c>
    </row>
    <row r="427" spans="1:2" x14ac:dyDescent="0.35">
      <c r="A427" s="2">
        <v>46264</v>
      </c>
      <c r="B427">
        <v>2838</v>
      </c>
    </row>
    <row r="428" spans="1:2" x14ac:dyDescent="0.35">
      <c r="A428" s="2">
        <v>46265</v>
      </c>
      <c r="B428">
        <v>3598</v>
      </c>
    </row>
    <row r="429" spans="1:2" x14ac:dyDescent="0.35">
      <c r="A429" s="2">
        <v>46266</v>
      </c>
      <c r="B429">
        <v>4013</v>
      </c>
    </row>
    <row r="430" spans="1:2" x14ac:dyDescent="0.35">
      <c r="A430" s="2">
        <v>46267</v>
      </c>
      <c r="B430">
        <v>1166</v>
      </c>
    </row>
    <row r="431" spans="1:2" x14ac:dyDescent="0.35">
      <c r="A431" s="2">
        <v>46268</v>
      </c>
      <c r="B431">
        <v>4480</v>
      </c>
    </row>
    <row r="432" spans="1:2" x14ac:dyDescent="0.35">
      <c r="A432" s="2">
        <v>46269</v>
      </c>
      <c r="B432">
        <v>2544</v>
      </c>
    </row>
    <row r="433" spans="1:2" x14ac:dyDescent="0.35">
      <c r="A433" s="2">
        <v>46270</v>
      </c>
      <c r="B433">
        <v>4207</v>
      </c>
    </row>
    <row r="434" spans="1:2" x14ac:dyDescent="0.35">
      <c r="A434" s="2">
        <v>46271</v>
      </c>
      <c r="B434">
        <v>3473</v>
      </c>
    </row>
    <row r="435" spans="1:2" x14ac:dyDescent="0.35">
      <c r="A435" s="2">
        <v>46272</v>
      </c>
      <c r="B435">
        <v>4069</v>
      </c>
    </row>
    <row r="436" spans="1:2" x14ac:dyDescent="0.35">
      <c r="A436" s="2">
        <v>46273</v>
      </c>
      <c r="B436">
        <v>2646</v>
      </c>
    </row>
    <row r="437" spans="1:2" x14ac:dyDescent="0.35">
      <c r="A437" s="2">
        <v>46274</v>
      </c>
      <c r="B437">
        <v>853</v>
      </c>
    </row>
    <row r="438" spans="1:2" x14ac:dyDescent="0.35">
      <c r="A438" s="2">
        <v>46275</v>
      </c>
      <c r="B438">
        <v>2182</v>
      </c>
    </row>
    <row r="439" spans="1:2" x14ac:dyDescent="0.35">
      <c r="A439" s="2">
        <v>46276</v>
      </c>
      <c r="B439">
        <v>2874</v>
      </c>
    </row>
    <row r="440" spans="1:2" x14ac:dyDescent="0.35">
      <c r="A440" s="2">
        <v>46277</v>
      </c>
      <c r="B440">
        <v>2996</v>
      </c>
    </row>
    <row r="441" spans="1:2" x14ac:dyDescent="0.35">
      <c r="A441" s="2">
        <v>46278</v>
      </c>
      <c r="B441">
        <v>4285</v>
      </c>
    </row>
    <row r="442" spans="1:2" x14ac:dyDescent="0.35">
      <c r="A442" s="2">
        <v>46279</v>
      </c>
      <c r="B442">
        <v>875</v>
      </c>
    </row>
    <row r="443" spans="1:2" x14ac:dyDescent="0.35">
      <c r="A443" s="2">
        <v>46280</v>
      </c>
      <c r="B443">
        <v>1725</v>
      </c>
    </row>
    <row r="444" spans="1:2" x14ac:dyDescent="0.35">
      <c r="A444" s="2">
        <v>46281</v>
      </c>
      <c r="B444">
        <v>3169</v>
      </c>
    </row>
    <row r="445" spans="1:2" x14ac:dyDescent="0.35">
      <c r="A445" s="2">
        <v>46282</v>
      </c>
      <c r="B445">
        <v>517</v>
      </c>
    </row>
    <row r="446" spans="1:2" x14ac:dyDescent="0.35">
      <c r="A446" s="2">
        <v>46283</v>
      </c>
      <c r="B446">
        <v>214</v>
      </c>
    </row>
    <row r="447" spans="1:2" x14ac:dyDescent="0.35">
      <c r="A447" s="2">
        <v>46284</v>
      </c>
      <c r="B447">
        <v>716</v>
      </c>
    </row>
    <row r="448" spans="1:2" x14ac:dyDescent="0.35">
      <c r="A448" s="2">
        <v>46285</v>
      </c>
      <c r="B448">
        <v>4074</v>
      </c>
    </row>
    <row r="449" spans="1:2" x14ac:dyDescent="0.35">
      <c r="A449" s="2">
        <v>46286</v>
      </c>
      <c r="B449">
        <v>3367</v>
      </c>
    </row>
    <row r="450" spans="1:2" x14ac:dyDescent="0.35">
      <c r="A450" s="2">
        <v>46287</v>
      </c>
      <c r="B450">
        <v>925</v>
      </c>
    </row>
    <row r="451" spans="1:2" x14ac:dyDescent="0.35">
      <c r="A451" s="2">
        <v>46288</v>
      </c>
      <c r="B451">
        <v>1616</v>
      </c>
    </row>
    <row r="452" spans="1:2" x14ac:dyDescent="0.35">
      <c r="A452" s="2">
        <v>46289</v>
      </c>
      <c r="B452">
        <v>3246</v>
      </c>
    </row>
    <row r="453" spans="1:2" x14ac:dyDescent="0.35">
      <c r="A453" s="2">
        <v>46290</v>
      </c>
      <c r="B453">
        <v>512</v>
      </c>
    </row>
    <row r="454" spans="1:2" x14ac:dyDescent="0.35">
      <c r="A454" s="2">
        <v>46291</v>
      </c>
      <c r="B454">
        <v>828</v>
      </c>
    </row>
    <row r="455" spans="1:2" x14ac:dyDescent="0.35">
      <c r="A455" s="2">
        <v>46292</v>
      </c>
      <c r="B455">
        <v>3448</v>
      </c>
    </row>
    <row r="456" spans="1:2" x14ac:dyDescent="0.35">
      <c r="A456" s="2">
        <v>46293</v>
      </c>
      <c r="B456">
        <v>2908</v>
      </c>
    </row>
    <row r="457" spans="1:2" x14ac:dyDescent="0.35">
      <c r="A457" s="2">
        <v>46294</v>
      </c>
      <c r="B457">
        <v>775</v>
      </c>
    </row>
    <row r="458" spans="1:2" x14ac:dyDescent="0.35">
      <c r="A458" s="2">
        <v>46295</v>
      </c>
      <c r="B458">
        <v>3565</v>
      </c>
    </row>
    <row r="459" spans="1:2" x14ac:dyDescent="0.35">
      <c r="A459" s="2">
        <v>46296</v>
      </c>
      <c r="B459">
        <v>2604</v>
      </c>
    </row>
    <row r="460" spans="1:2" x14ac:dyDescent="0.35">
      <c r="A460" s="2">
        <v>46297</v>
      </c>
      <c r="B460">
        <v>3067</v>
      </c>
    </row>
    <row r="461" spans="1:2" x14ac:dyDescent="0.35">
      <c r="A461" s="2">
        <v>46298</v>
      </c>
      <c r="B461">
        <v>2886</v>
      </c>
    </row>
    <row r="462" spans="1:2" x14ac:dyDescent="0.35">
      <c r="A462" s="2">
        <v>46299</v>
      </c>
      <c r="B462">
        <v>1222</v>
      </c>
    </row>
    <row r="463" spans="1:2" x14ac:dyDescent="0.35">
      <c r="A463" s="2">
        <v>46300</v>
      </c>
      <c r="B463">
        <v>4179</v>
      </c>
    </row>
    <row r="464" spans="1:2" x14ac:dyDescent="0.35">
      <c r="A464" s="2">
        <v>46301</v>
      </c>
      <c r="B464">
        <v>1671</v>
      </c>
    </row>
    <row r="465" spans="1:2" x14ac:dyDescent="0.35">
      <c r="A465" s="2">
        <v>46302</v>
      </c>
      <c r="B465">
        <v>2243</v>
      </c>
    </row>
    <row r="466" spans="1:2" x14ac:dyDescent="0.35">
      <c r="A466" s="2">
        <v>46303</v>
      </c>
      <c r="B466">
        <v>1787</v>
      </c>
    </row>
    <row r="467" spans="1:2" x14ac:dyDescent="0.35">
      <c r="A467" s="2">
        <v>46304</v>
      </c>
      <c r="B467">
        <v>4232</v>
      </c>
    </row>
    <row r="468" spans="1:2" x14ac:dyDescent="0.35">
      <c r="A468" s="2">
        <v>46305</v>
      </c>
      <c r="B468">
        <v>3951</v>
      </c>
    </row>
    <row r="469" spans="1:2" x14ac:dyDescent="0.35">
      <c r="A469" s="2">
        <v>46306</v>
      </c>
      <c r="B469">
        <v>3540</v>
      </c>
    </row>
    <row r="470" spans="1:2" x14ac:dyDescent="0.35">
      <c r="A470" s="2">
        <v>46307</v>
      </c>
      <c r="B470">
        <v>3866</v>
      </c>
    </row>
    <row r="471" spans="1:2" x14ac:dyDescent="0.35">
      <c r="A471" s="2">
        <v>46308</v>
      </c>
      <c r="B471">
        <v>2426</v>
      </c>
    </row>
    <row r="472" spans="1:2" x14ac:dyDescent="0.35">
      <c r="A472" s="2">
        <v>46309</v>
      </c>
      <c r="B472">
        <v>3014</v>
      </c>
    </row>
    <row r="473" spans="1:2" x14ac:dyDescent="0.35">
      <c r="A473" s="2">
        <v>46310</v>
      </c>
      <c r="B473">
        <v>4052</v>
      </c>
    </row>
    <row r="474" spans="1:2" x14ac:dyDescent="0.35">
      <c r="A474" s="2">
        <v>46311</v>
      </c>
      <c r="B474">
        <v>695</v>
      </c>
    </row>
    <row r="475" spans="1:2" x14ac:dyDescent="0.35">
      <c r="A475" s="2">
        <v>46312</v>
      </c>
      <c r="B475">
        <v>828</v>
      </c>
    </row>
    <row r="476" spans="1:2" x14ac:dyDescent="0.35">
      <c r="A476" s="2">
        <v>46313</v>
      </c>
      <c r="B476">
        <v>1465</v>
      </c>
    </row>
    <row r="477" spans="1:2" x14ac:dyDescent="0.35">
      <c r="A477" s="2">
        <v>46314</v>
      </c>
      <c r="B477">
        <v>4592</v>
      </c>
    </row>
    <row r="478" spans="1:2" x14ac:dyDescent="0.35">
      <c r="A478" s="2">
        <v>46315</v>
      </c>
      <c r="B478">
        <v>798</v>
      </c>
    </row>
    <row r="479" spans="1:2" x14ac:dyDescent="0.35">
      <c r="A479" s="2">
        <v>46316</v>
      </c>
      <c r="B479">
        <v>495</v>
      </c>
    </row>
    <row r="480" spans="1:2" x14ac:dyDescent="0.35">
      <c r="A480" s="2">
        <v>46317</v>
      </c>
      <c r="B480">
        <v>4271</v>
      </c>
    </row>
    <row r="481" spans="1:2" x14ac:dyDescent="0.35">
      <c r="A481" s="2">
        <v>46318</v>
      </c>
      <c r="B481">
        <v>4460</v>
      </c>
    </row>
    <row r="482" spans="1:2" x14ac:dyDescent="0.35">
      <c r="A482" s="2">
        <v>46319</v>
      </c>
      <c r="B482">
        <v>2602</v>
      </c>
    </row>
    <row r="483" spans="1:2" x14ac:dyDescent="0.35">
      <c r="A483" s="2">
        <v>46320</v>
      </c>
      <c r="B483">
        <v>1919</v>
      </c>
    </row>
    <row r="484" spans="1:2" x14ac:dyDescent="0.35">
      <c r="A484" s="2">
        <v>46321</v>
      </c>
      <c r="B484">
        <v>817</v>
      </c>
    </row>
    <row r="485" spans="1:2" x14ac:dyDescent="0.35">
      <c r="A485" s="2">
        <v>46322</v>
      </c>
      <c r="B485">
        <v>2882</v>
      </c>
    </row>
    <row r="486" spans="1:2" x14ac:dyDescent="0.35">
      <c r="A486" s="2">
        <v>46323</v>
      </c>
      <c r="B486">
        <v>3677</v>
      </c>
    </row>
    <row r="487" spans="1:2" x14ac:dyDescent="0.35">
      <c r="A487" s="2">
        <v>46324</v>
      </c>
      <c r="B487">
        <v>243</v>
      </c>
    </row>
    <row r="488" spans="1:2" x14ac:dyDescent="0.35">
      <c r="A488" s="2">
        <v>46325</v>
      </c>
      <c r="B488">
        <v>3240</v>
      </c>
    </row>
    <row r="489" spans="1:2" x14ac:dyDescent="0.35">
      <c r="A489" s="2">
        <v>46326</v>
      </c>
      <c r="B489">
        <v>960</v>
      </c>
    </row>
    <row r="490" spans="1:2" x14ac:dyDescent="0.35">
      <c r="A490" s="2">
        <v>46327</v>
      </c>
      <c r="B490">
        <v>3872</v>
      </c>
    </row>
    <row r="491" spans="1:2" x14ac:dyDescent="0.35">
      <c r="A491" s="2">
        <v>46328</v>
      </c>
      <c r="B491">
        <v>3192</v>
      </c>
    </row>
    <row r="492" spans="1:2" x14ac:dyDescent="0.35">
      <c r="A492" s="2">
        <v>46329</v>
      </c>
      <c r="B492">
        <v>566</v>
      </c>
    </row>
    <row r="493" spans="1:2" x14ac:dyDescent="0.35">
      <c r="A493" s="2">
        <v>46330</v>
      </c>
      <c r="B493">
        <v>4526</v>
      </c>
    </row>
    <row r="494" spans="1:2" x14ac:dyDescent="0.35">
      <c r="A494" s="2">
        <v>46331</v>
      </c>
      <c r="B494">
        <v>3544</v>
      </c>
    </row>
    <row r="495" spans="1:2" x14ac:dyDescent="0.35">
      <c r="A495" s="2">
        <v>46332</v>
      </c>
      <c r="B495">
        <v>3271</v>
      </c>
    </row>
    <row r="496" spans="1:2" x14ac:dyDescent="0.35">
      <c r="A496" s="2">
        <v>46333</v>
      </c>
      <c r="B496">
        <v>3019</v>
      </c>
    </row>
    <row r="497" spans="1:2" x14ac:dyDescent="0.35">
      <c r="A497" s="2">
        <v>46334</v>
      </c>
      <c r="B497">
        <v>230</v>
      </c>
    </row>
    <row r="498" spans="1:2" x14ac:dyDescent="0.35">
      <c r="A498" s="2">
        <v>46335</v>
      </c>
      <c r="B498">
        <v>1785</v>
      </c>
    </row>
    <row r="499" spans="1:2" x14ac:dyDescent="0.35">
      <c r="A499" s="2">
        <v>46336</v>
      </c>
      <c r="B499">
        <v>869</v>
      </c>
    </row>
    <row r="500" spans="1:2" x14ac:dyDescent="0.35">
      <c r="A500" s="2">
        <v>46337</v>
      </c>
      <c r="B500">
        <v>2491</v>
      </c>
    </row>
    <row r="501" spans="1:2" x14ac:dyDescent="0.35">
      <c r="A501" s="2">
        <v>46338</v>
      </c>
      <c r="B501">
        <v>2533</v>
      </c>
    </row>
    <row r="502" spans="1:2" x14ac:dyDescent="0.35">
      <c r="A502" s="2">
        <v>46339</v>
      </c>
      <c r="B502">
        <v>1284</v>
      </c>
    </row>
    <row r="503" spans="1:2" x14ac:dyDescent="0.35">
      <c r="A503" s="2">
        <v>46340</v>
      </c>
      <c r="B503">
        <v>4655</v>
      </c>
    </row>
    <row r="504" spans="1:2" x14ac:dyDescent="0.35">
      <c r="A504" s="2">
        <v>46341</v>
      </c>
      <c r="B504">
        <v>3485</v>
      </c>
    </row>
    <row r="505" spans="1:2" x14ac:dyDescent="0.35">
      <c r="A505" s="2">
        <v>46342</v>
      </c>
      <c r="B505">
        <v>4217</v>
      </c>
    </row>
    <row r="506" spans="1:2" x14ac:dyDescent="0.35">
      <c r="A506" s="2">
        <v>46343</v>
      </c>
      <c r="B506">
        <v>4943</v>
      </c>
    </row>
    <row r="507" spans="1:2" x14ac:dyDescent="0.35">
      <c r="A507" s="2">
        <v>46344</v>
      </c>
      <c r="B507">
        <v>3004</v>
      </c>
    </row>
    <row r="508" spans="1:2" x14ac:dyDescent="0.35">
      <c r="A508" s="2">
        <v>46345</v>
      </c>
      <c r="B508">
        <v>574</v>
      </c>
    </row>
    <row r="509" spans="1:2" x14ac:dyDescent="0.35">
      <c r="A509" s="2">
        <v>46346</v>
      </c>
      <c r="B509">
        <v>1182</v>
      </c>
    </row>
    <row r="510" spans="1:2" x14ac:dyDescent="0.35">
      <c r="A510" s="2">
        <v>46347</v>
      </c>
      <c r="B510">
        <v>2658</v>
      </c>
    </row>
    <row r="511" spans="1:2" x14ac:dyDescent="0.35">
      <c r="A511" s="2">
        <v>46348</v>
      </c>
      <c r="B511">
        <v>2147</v>
      </c>
    </row>
    <row r="512" spans="1:2" x14ac:dyDescent="0.35">
      <c r="A512" s="2">
        <v>46349</v>
      </c>
      <c r="B512">
        <v>2847</v>
      </c>
    </row>
    <row r="513" spans="1:2" x14ac:dyDescent="0.35">
      <c r="A513" s="2">
        <v>46350</v>
      </c>
      <c r="B513">
        <v>1075</v>
      </c>
    </row>
    <row r="514" spans="1:2" x14ac:dyDescent="0.35">
      <c r="A514" s="2">
        <v>46351</v>
      </c>
      <c r="B514">
        <v>1906</v>
      </c>
    </row>
    <row r="515" spans="1:2" x14ac:dyDescent="0.35">
      <c r="A515" s="2">
        <v>46352</v>
      </c>
      <c r="B515">
        <v>289</v>
      </c>
    </row>
    <row r="516" spans="1:2" x14ac:dyDescent="0.35">
      <c r="A516" s="2">
        <v>46353</v>
      </c>
      <c r="B516">
        <v>2834</v>
      </c>
    </row>
    <row r="517" spans="1:2" x14ac:dyDescent="0.35">
      <c r="A517" s="2">
        <v>46354</v>
      </c>
      <c r="B517">
        <v>3105</v>
      </c>
    </row>
    <row r="518" spans="1:2" x14ac:dyDescent="0.35">
      <c r="A518" s="2">
        <v>46355</v>
      </c>
      <c r="B518">
        <v>4758</v>
      </c>
    </row>
    <row r="519" spans="1:2" x14ac:dyDescent="0.35">
      <c r="A519" s="2">
        <v>46356</v>
      </c>
      <c r="B519">
        <v>1999</v>
      </c>
    </row>
    <row r="520" spans="1:2" x14ac:dyDescent="0.35">
      <c r="A520" s="2">
        <v>46357</v>
      </c>
      <c r="B520">
        <v>1367</v>
      </c>
    </row>
    <row r="521" spans="1:2" x14ac:dyDescent="0.35">
      <c r="A521" s="2">
        <v>46358</v>
      </c>
      <c r="B521">
        <v>1628</v>
      </c>
    </row>
    <row r="522" spans="1:2" x14ac:dyDescent="0.35">
      <c r="A522" s="2">
        <v>46359</v>
      </c>
      <c r="B522">
        <v>3302</v>
      </c>
    </row>
    <row r="523" spans="1:2" x14ac:dyDescent="0.35">
      <c r="A523" s="2">
        <v>46360</v>
      </c>
      <c r="B523">
        <v>3656</v>
      </c>
    </row>
    <row r="524" spans="1:2" x14ac:dyDescent="0.35">
      <c r="A524" s="2">
        <v>46361</v>
      </c>
      <c r="B524">
        <v>3990</v>
      </c>
    </row>
    <row r="525" spans="1:2" x14ac:dyDescent="0.35">
      <c r="A525" s="2">
        <v>46362</v>
      </c>
      <c r="B525">
        <v>746</v>
      </c>
    </row>
    <row r="526" spans="1:2" x14ac:dyDescent="0.35">
      <c r="A526" s="2">
        <v>46363</v>
      </c>
      <c r="B526">
        <v>2988</v>
      </c>
    </row>
    <row r="527" spans="1:2" x14ac:dyDescent="0.35">
      <c r="A527" s="2">
        <v>46364</v>
      </c>
      <c r="B527">
        <v>2535</v>
      </c>
    </row>
    <row r="528" spans="1:2" x14ac:dyDescent="0.35">
      <c r="A528" s="2">
        <v>46365</v>
      </c>
      <c r="B528">
        <v>700</v>
      </c>
    </row>
    <row r="529" spans="1:2" x14ac:dyDescent="0.35">
      <c r="A529" s="2">
        <v>46366</v>
      </c>
      <c r="B529">
        <v>2463</v>
      </c>
    </row>
    <row r="530" spans="1:2" x14ac:dyDescent="0.35">
      <c r="A530" s="2">
        <v>46367</v>
      </c>
      <c r="B530">
        <v>2161</v>
      </c>
    </row>
    <row r="531" spans="1:2" x14ac:dyDescent="0.35">
      <c r="A531" s="2">
        <v>46368</v>
      </c>
      <c r="B531">
        <v>341</v>
      </c>
    </row>
    <row r="532" spans="1:2" x14ac:dyDescent="0.35">
      <c r="A532" s="2">
        <v>46369</v>
      </c>
      <c r="B532">
        <v>2141</v>
      </c>
    </row>
    <row r="533" spans="1:2" x14ac:dyDescent="0.35">
      <c r="A533" s="2">
        <v>46370</v>
      </c>
      <c r="B533">
        <v>2924</v>
      </c>
    </row>
    <row r="534" spans="1:2" x14ac:dyDescent="0.35">
      <c r="A534" s="2">
        <v>46371</v>
      </c>
      <c r="B534">
        <v>2712</v>
      </c>
    </row>
    <row r="535" spans="1:2" x14ac:dyDescent="0.35">
      <c r="A535" s="2">
        <v>46372</v>
      </c>
      <c r="B535">
        <v>1463</v>
      </c>
    </row>
    <row r="536" spans="1:2" x14ac:dyDescent="0.35">
      <c r="A536" s="2">
        <v>46373</v>
      </c>
      <c r="B536">
        <v>1578</v>
      </c>
    </row>
    <row r="537" spans="1:2" x14ac:dyDescent="0.35">
      <c r="A537" s="2">
        <v>46374</v>
      </c>
      <c r="B537">
        <v>2656</v>
      </c>
    </row>
    <row r="538" spans="1:2" x14ac:dyDescent="0.35">
      <c r="A538" s="2">
        <v>46375</v>
      </c>
      <c r="B538">
        <v>875</v>
      </c>
    </row>
    <row r="539" spans="1:2" x14ac:dyDescent="0.35">
      <c r="A539" s="2">
        <v>46376</v>
      </c>
      <c r="B539">
        <v>4114</v>
      </c>
    </row>
    <row r="540" spans="1:2" x14ac:dyDescent="0.35">
      <c r="A540" s="2">
        <v>46377</v>
      </c>
      <c r="B540">
        <v>134</v>
      </c>
    </row>
    <row r="541" spans="1:2" x14ac:dyDescent="0.35">
      <c r="A541" s="2">
        <v>46378</v>
      </c>
      <c r="B541">
        <v>3252</v>
      </c>
    </row>
    <row r="542" spans="1:2" x14ac:dyDescent="0.35">
      <c r="A542" s="2">
        <v>46379</v>
      </c>
      <c r="B542">
        <v>2055</v>
      </c>
    </row>
    <row r="543" spans="1:2" x14ac:dyDescent="0.35">
      <c r="A543" s="2">
        <v>46380</v>
      </c>
      <c r="B543">
        <v>1685</v>
      </c>
    </row>
    <row r="544" spans="1:2" x14ac:dyDescent="0.35">
      <c r="A544" s="2">
        <v>46381</v>
      </c>
      <c r="B544">
        <v>4043</v>
      </c>
    </row>
    <row r="545" spans="1:2" x14ac:dyDescent="0.35">
      <c r="A545" s="2">
        <v>46382</v>
      </c>
      <c r="B545">
        <v>3173</v>
      </c>
    </row>
    <row r="546" spans="1:2" x14ac:dyDescent="0.35">
      <c r="A546" s="2">
        <v>46383</v>
      </c>
      <c r="B546">
        <v>1121</v>
      </c>
    </row>
    <row r="547" spans="1:2" x14ac:dyDescent="0.35">
      <c r="A547" s="2">
        <v>46384</v>
      </c>
      <c r="B547">
        <v>3561</v>
      </c>
    </row>
    <row r="548" spans="1:2" x14ac:dyDescent="0.35">
      <c r="A548" s="2">
        <v>46385</v>
      </c>
      <c r="B548">
        <v>2713</v>
      </c>
    </row>
    <row r="549" spans="1:2" x14ac:dyDescent="0.35">
      <c r="A549" s="2">
        <v>46386</v>
      </c>
      <c r="B549">
        <v>3943</v>
      </c>
    </row>
    <row r="550" spans="1:2" x14ac:dyDescent="0.35">
      <c r="A550" s="2">
        <v>46387</v>
      </c>
      <c r="B550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Time Intelligence</vt:lpstr>
      <vt:lpstr>Trend</vt:lpstr>
      <vt:lpstr>Sheet1</vt:lpstr>
      <vt:lpstr>Forecasting</vt:lpstr>
      <vt:lpstr>Real - Time Sales Metrics</vt:lpstr>
      <vt:lpstr>Data Set</vt:lpstr>
      <vt:lpstr>Dashboard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AWESOME EMMANUEL</dc:creator>
  <cp:lastModifiedBy>Lydia Azide</cp:lastModifiedBy>
  <dcterms:created xsi:type="dcterms:W3CDTF">2026-02-04T09:42:19Z</dcterms:created>
  <dcterms:modified xsi:type="dcterms:W3CDTF">2026-05-23T08:57:06Z</dcterms:modified>
</cp:coreProperties>
</file>